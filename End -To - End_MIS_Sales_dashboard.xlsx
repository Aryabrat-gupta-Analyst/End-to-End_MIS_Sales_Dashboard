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mc:AlternateContent xmlns:mc="http://schemas.openxmlformats.org/markup-compatibility/2006">
    <mc:Choice Requires="x15">
      <x15ac:absPath xmlns:x15ac="http://schemas.microsoft.com/office/spreadsheetml/2010/11/ac" url="C:\Users\my\Documents\"/>
    </mc:Choice>
  </mc:AlternateContent>
  <xr:revisionPtr revIDLastSave="0" documentId="13_ncr:1_{6C3C35CB-B189-4924-8C5E-19F046CD48F1}" xr6:coauthVersionLast="36" xr6:coauthVersionMax="36" xr10:uidLastSave="{00000000-0000-0000-0000-000000000000}"/>
  <bookViews>
    <workbookView xWindow="0" yWindow="0" windowWidth="19200" windowHeight="11535" tabRatio="652" xr2:uid="{00000000-000D-0000-FFFF-FFFF00000000}"/>
  </bookViews>
  <sheets>
    <sheet name="Messy_Sales_Data" sheetId="1" r:id="rId1"/>
    <sheet name="Refined_Data" sheetId="7" r:id="rId2"/>
    <sheet name="Valid_Data" sheetId="4" r:id="rId3"/>
    <sheet name="Pivot_Table_Analysis" sheetId="5" r:id="rId4"/>
    <sheet name="Dynamic_Sales_Dashboard" sheetId="3" r:id="rId5"/>
  </sheets>
  <definedNames>
    <definedName name="NativeTimeline_Order__Date">#N/A</definedName>
    <definedName name="OrderID">Valid_Data!$B$6:$J$6</definedName>
    <definedName name="Slicer_City">#N/A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G507" i="7" l="1"/>
  <c r="F507" i="7"/>
  <c r="G506" i="7"/>
  <c r="F506" i="7"/>
  <c r="J505" i="7"/>
  <c r="J504" i="7"/>
  <c r="J503" i="7"/>
  <c r="J502" i="7"/>
  <c r="J501" i="7"/>
  <c r="J500" i="7"/>
  <c r="J499" i="7"/>
  <c r="J498" i="7"/>
  <c r="J497" i="7"/>
  <c r="J496" i="7"/>
  <c r="J495" i="7"/>
  <c r="J494" i="7"/>
  <c r="J493" i="7"/>
  <c r="J492" i="7"/>
  <c r="J491" i="7"/>
  <c r="J490" i="7"/>
  <c r="J489" i="7"/>
  <c r="J488" i="7"/>
  <c r="J487" i="7"/>
  <c r="J486" i="7"/>
  <c r="J485" i="7"/>
  <c r="J484" i="7"/>
  <c r="J483" i="7"/>
  <c r="J482" i="7"/>
  <c r="J481" i="7"/>
  <c r="J480" i="7"/>
  <c r="J479" i="7"/>
  <c r="J478" i="7"/>
  <c r="J477" i="7"/>
  <c r="J476" i="7"/>
  <c r="J475" i="7"/>
  <c r="J474" i="7"/>
  <c r="J473" i="7"/>
  <c r="J472" i="7"/>
  <c r="J471" i="7"/>
  <c r="J470" i="7"/>
  <c r="J469" i="7"/>
  <c r="J468" i="7"/>
  <c r="J467" i="7"/>
  <c r="J466" i="7"/>
  <c r="J465" i="7"/>
  <c r="J464" i="7"/>
  <c r="J463" i="7"/>
  <c r="J462" i="7"/>
  <c r="J461" i="7"/>
  <c r="J460" i="7"/>
  <c r="J459" i="7"/>
  <c r="J458" i="7"/>
  <c r="J457" i="7"/>
  <c r="J456" i="7"/>
  <c r="J455" i="7"/>
  <c r="J454" i="7"/>
  <c r="J453" i="7"/>
  <c r="J452" i="7"/>
  <c r="J451" i="7"/>
  <c r="J450" i="7"/>
  <c r="J449" i="7"/>
  <c r="J448" i="7"/>
  <c r="J447" i="7"/>
  <c r="J446" i="7"/>
  <c r="J445" i="7"/>
  <c r="J444" i="7"/>
  <c r="J443" i="7"/>
  <c r="J442" i="7"/>
  <c r="J441" i="7"/>
  <c r="J440" i="7"/>
  <c r="J439" i="7"/>
  <c r="J438" i="7"/>
  <c r="J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F349" i="4" l="1"/>
  <c r="G349" i="4"/>
  <c r="N6" i="3" l="1"/>
  <c r="L6" i="3"/>
  <c r="B6" i="3"/>
  <c r="J6" i="3" l="1"/>
  <c r="D6" i="3"/>
  <c r="H6" i="3"/>
  <c r="F6" i="3" l="1"/>
</calcChain>
</file>

<file path=xl/sharedStrings.xml><?xml version="1.0" encoding="utf-8"?>
<sst xmlns="http://schemas.openxmlformats.org/spreadsheetml/2006/main" count="6294" uniqueCount="351">
  <si>
    <t>OrderID</t>
  </si>
  <si>
    <t>Order Date</t>
  </si>
  <si>
    <t>City</t>
  </si>
  <si>
    <t>Product</t>
  </si>
  <si>
    <t>Sales</t>
  </si>
  <si>
    <t>Quantity</t>
  </si>
  <si>
    <t>Customer Name</t>
  </si>
  <si>
    <t>Region</t>
  </si>
  <si>
    <t>01-01-25</t>
  </si>
  <si>
    <t xml:space="preserve"> Mumbai </t>
  </si>
  <si>
    <t>Tablet</t>
  </si>
  <si>
    <t>Neha</t>
  </si>
  <si>
    <t>WEST</t>
  </si>
  <si>
    <t>02/01/2025</t>
  </si>
  <si>
    <t>LAPTOP</t>
  </si>
  <si>
    <t>Amit</t>
  </si>
  <si>
    <t xml:space="preserve"> north </t>
  </si>
  <si>
    <t>03-01-25</t>
  </si>
  <si>
    <t xml:space="preserve"> Chennai</t>
  </si>
  <si>
    <t>Laptop</t>
  </si>
  <si>
    <t>Arjun</t>
  </si>
  <si>
    <t>West</t>
  </si>
  <si>
    <t>04-01-25</t>
  </si>
  <si>
    <t>Bangalore</t>
  </si>
  <si>
    <t>Pooja</t>
  </si>
  <si>
    <t>05/01/2025</t>
  </si>
  <si>
    <t xml:space="preserve">Delhi </t>
  </si>
  <si>
    <t>Mobile</t>
  </si>
  <si>
    <t>Rahul</t>
  </si>
  <si>
    <t>East</t>
  </si>
  <si>
    <t>06-01-2025</t>
  </si>
  <si>
    <t>South</t>
  </si>
  <si>
    <t>07-01-2025</t>
  </si>
  <si>
    <t>Delhi</t>
  </si>
  <si>
    <t>Ravi</t>
  </si>
  <si>
    <t>08/01/2025</t>
  </si>
  <si>
    <t>mobile</t>
  </si>
  <si>
    <t>09-01-2025</t>
  </si>
  <si>
    <t>Anita</t>
  </si>
  <si>
    <t>10-01-2025</t>
  </si>
  <si>
    <t>11/01/2025</t>
  </si>
  <si>
    <t>12/01/2025</t>
  </si>
  <si>
    <t>13-01-25</t>
  </si>
  <si>
    <t>14-01-25</t>
  </si>
  <si>
    <t>15/01/2025</t>
  </si>
  <si>
    <t>Kolkata</t>
  </si>
  <si>
    <t>Karan</t>
  </si>
  <si>
    <t>16-01-25</t>
  </si>
  <si>
    <t>17-01-25</t>
  </si>
  <si>
    <t xml:space="preserve"> Bangalore </t>
  </si>
  <si>
    <t>18-01-2025</t>
  </si>
  <si>
    <t>19-01-2025</t>
  </si>
  <si>
    <t>20-01-25</t>
  </si>
  <si>
    <t>North</t>
  </si>
  <si>
    <t>21-01-25</t>
  </si>
  <si>
    <t>22-01-2025</t>
  </si>
  <si>
    <t>23-01-25</t>
  </si>
  <si>
    <t>24-01-2025</t>
  </si>
  <si>
    <t>25-01-2025</t>
  </si>
  <si>
    <t>26-01-25</t>
  </si>
  <si>
    <t>27-01-2025</t>
  </si>
  <si>
    <t>28-01-2025</t>
  </si>
  <si>
    <t>29-01-2025</t>
  </si>
  <si>
    <t>30/01/2025</t>
  </si>
  <si>
    <t>31/01/2025</t>
  </si>
  <si>
    <t>01-02-25</t>
  </si>
  <si>
    <t>02/02/2025</t>
  </si>
  <si>
    <t>03-02-25</t>
  </si>
  <si>
    <t>04-02-2025</t>
  </si>
  <si>
    <t>05-02-2025</t>
  </si>
  <si>
    <t>06-02-25</t>
  </si>
  <si>
    <t>07/02/2025</t>
  </si>
  <si>
    <t>08/02/2025</t>
  </si>
  <si>
    <t>09/02/2025</t>
  </si>
  <si>
    <t>10-02-25</t>
  </si>
  <si>
    <t>11/02/2025</t>
  </si>
  <si>
    <t>12-02-2025</t>
  </si>
  <si>
    <t>13-02-25</t>
  </si>
  <si>
    <t>14/02/2025</t>
  </si>
  <si>
    <t>15-02-2025</t>
  </si>
  <si>
    <t>16-02-2025</t>
  </si>
  <si>
    <t>17/02/2025</t>
  </si>
  <si>
    <t>18-02-2025</t>
  </si>
  <si>
    <t>19-02-25</t>
  </si>
  <si>
    <t>20-02-25</t>
  </si>
  <si>
    <t>21/02/2025</t>
  </si>
  <si>
    <t>22/02/2025</t>
  </si>
  <si>
    <t>23-02-2025</t>
  </si>
  <si>
    <t>24-02-25</t>
  </si>
  <si>
    <t>25-02-2025</t>
  </si>
  <si>
    <t>26/02/2025</t>
  </si>
  <si>
    <t>27-02-2025</t>
  </si>
  <si>
    <t>28/02/2025</t>
  </si>
  <si>
    <t>01-03-2025</t>
  </si>
  <si>
    <t>02-03-2025</t>
  </si>
  <si>
    <t>03/03/2025</t>
  </si>
  <si>
    <t>04/03/2025</t>
  </si>
  <si>
    <t>05/03/2025</t>
  </si>
  <si>
    <t>06-03-25</t>
  </si>
  <si>
    <t>07/03/2025</t>
  </si>
  <si>
    <t>08-03-25</t>
  </si>
  <si>
    <t>09-03-25</t>
  </si>
  <si>
    <t>10-03-25</t>
  </si>
  <si>
    <t>11-03-25</t>
  </si>
  <si>
    <t>12/03/2025</t>
  </si>
  <si>
    <t>13-03-25</t>
  </si>
  <si>
    <t>14-03-2025</t>
  </si>
  <si>
    <t>15-03-25</t>
  </si>
  <si>
    <t>16-03-2025</t>
  </si>
  <si>
    <t>17-03-2025</t>
  </si>
  <si>
    <t>18/03/2025</t>
  </si>
  <si>
    <t>19-03-25</t>
  </si>
  <si>
    <t>20-03-2025</t>
  </si>
  <si>
    <t>21-03-25</t>
  </si>
  <si>
    <t>22-03-2025</t>
  </si>
  <si>
    <t>23-03-25</t>
  </si>
  <si>
    <t>24/03/2025</t>
  </si>
  <si>
    <t>25-03-2025</t>
  </si>
  <si>
    <t>26/03/2025</t>
  </si>
  <si>
    <t>27/03/2025</t>
  </si>
  <si>
    <t>28-03-25</t>
  </si>
  <si>
    <t>29/03/2025</t>
  </si>
  <si>
    <t>30/03/2025</t>
  </si>
  <si>
    <t>31/03/2025</t>
  </si>
  <si>
    <t>01/04/2025</t>
  </si>
  <si>
    <t>02/04/2025</t>
  </si>
  <si>
    <t>03-04-25</t>
  </si>
  <si>
    <t>04/04/2025</t>
  </si>
  <si>
    <t>05/04/2025</t>
  </si>
  <si>
    <t>06/04/2025</t>
  </si>
  <si>
    <t>07-04-25</t>
  </si>
  <si>
    <t>08-04-25</t>
  </si>
  <si>
    <t>09-04-25</t>
  </si>
  <si>
    <t>10-04-2025</t>
  </si>
  <si>
    <t>11/04/2025</t>
  </si>
  <si>
    <t>12/04/2025</t>
  </si>
  <si>
    <t>13-04-2025</t>
  </si>
  <si>
    <t>14-04-2025</t>
  </si>
  <si>
    <t>15-04-2025</t>
  </si>
  <si>
    <t>16/04/2025</t>
  </si>
  <si>
    <t>17/04/2025</t>
  </si>
  <si>
    <t>18-04-25</t>
  </si>
  <si>
    <t>19-04-25</t>
  </si>
  <si>
    <t>20-04-25</t>
  </si>
  <si>
    <t>21-04-25</t>
  </si>
  <si>
    <t>22-04-2025</t>
  </si>
  <si>
    <t>23-04-2025</t>
  </si>
  <si>
    <t>24-04-25</t>
  </si>
  <si>
    <t>25/04/2025</t>
  </si>
  <si>
    <t>26/04/2025</t>
  </si>
  <si>
    <t>27-04-25</t>
  </si>
  <si>
    <t>28-04-2025</t>
  </si>
  <si>
    <t>29/04/2025</t>
  </si>
  <si>
    <t>30/04/2025</t>
  </si>
  <si>
    <t>01-01-2025</t>
  </si>
  <si>
    <t>02-01-25</t>
  </si>
  <si>
    <t>04/01/2025</t>
  </si>
  <si>
    <t>06/01/2025</t>
  </si>
  <si>
    <t>09-01-25</t>
  </si>
  <si>
    <t>11-01-25</t>
  </si>
  <si>
    <t>12-01-2025</t>
  </si>
  <si>
    <t>13/01/2025</t>
  </si>
  <si>
    <t>14/01/2025</t>
  </si>
  <si>
    <t>15-01-25</t>
  </si>
  <si>
    <t>16/01/2025</t>
  </si>
  <si>
    <t>17/01/2025</t>
  </si>
  <si>
    <t>18-01-25</t>
  </si>
  <si>
    <t>20/01/2025</t>
  </si>
  <si>
    <t>21/01/2025</t>
  </si>
  <si>
    <t>22/01/2025</t>
  </si>
  <si>
    <t>23-01-2025</t>
  </si>
  <si>
    <t>24-01-25</t>
  </si>
  <si>
    <t>25-01-25</t>
  </si>
  <si>
    <t>26-01-2025</t>
  </si>
  <si>
    <t>28/01/2025</t>
  </si>
  <si>
    <t>29/01/2025</t>
  </si>
  <si>
    <t>30-01-2025</t>
  </si>
  <si>
    <t>02-02-2025</t>
  </si>
  <si>
    <t>05-02-25</t>
  </si>
  <si>
    <t>06-02-2025</t>
  </si>
  <si>
    <t>07-02-25</t>
  </si>
  <si>
    <t>09-02-2025</t>
  </si>
  <si>
    <t>10/02/2025</t>
  </si>
  <si>
    <t>14-02-2025</t>
  </si>
  <si>
    <t>15-02-25</t>
  </si>
  <si>
    <t>18-02-25</t>
  </si>
  <si>
    <t>19-02-2025</t>
  </si>
  <si>
    <t>21-02-25</t>
  </si>
  <si>
    <t>22-02-2025</t>
  </si>
  <si>
    <t>23/02/2025</t>
  </si>
  <si>
    <t>24-02-2025</t>
  </si>
  <si>
    <t>25-02-25</t>
  </si>
  <si>
    <t>26-02-25</t>
  </si>
  <si>
    <t>27/02/2025</t>
  </si>
  <si>
    <t>28-02-25</t>
  </si>
  <si>
    <t>01-03-25</t>
  </si>
  <si>
    <t>04-03-2025</t>
  </si>
  <si>
    <t>05-03-2025</t>
  </si>
  <si>
    <t>06-03-2025</t>
  </si>
  <si>
    <t>07-03-2025</t>
  </si>
  <si>
    <t>08/03/2025</t>
  </si>
  <si>
    <t>09/03/2025</t>
  </si>
  <si>
    <t>11/03/2025</t>
  </si>
  <si>
    <t>12-03-25</t>
  </si>
  <si>
    <t>13/03/2025</t>
  </si>
  <si>
    <t>14-03-25</t>
  </si>
  <si>
    <t>15/03/2025</t>
  </si>
  <si>
    <t>16-03-25</t>
  </si>
  <si>
    <t>17/03/2025</t>
  </si>
  <si>
    <t>18-03-25</t>
  </si>
  <si>
    <t>19/03/2025</t>
  </si>
  <si>
    <t>21-03-2025</t>
  </si>
  <si>
    <t>22-03-25</t>
  </si>
  <si>
    <t>23-03-2025</t>
  </si>
  <si>
    <t>24-03-25</t>
  </si>
  <si>
    <t>26-03-2025</t>
  </si>
  <si>
    <t>27-03-25</t>
  </si>
  <si>
    <t>28-03-2025</t>
  </si>
  <si>
    <t>30-03-2025</t>
  </si>
  <si>
    <t>01-04-25</t>
  </si>
  <si>
    <t>02-04-25</t>
  </si>
  <si>
    <t>06-04-2025</t>
  </si>
  <si>
    <t>08/04/2025</t>
  </si>
  <si>
    <t>10-04-25</t>
  </si>
  <si>
    <t>11-04-25</t>
  </si>
  <si>
    <t>13/04/2025</t>
  </si>
  <si>
    <t>14-04-25</t>
  </si>
  <si>
    <t>15/04/2025</t>
  </si>
  <si>
    <t>16-04-2025</t>
  </si>
  <si>
    <t>17-04-2025</t>
  </si>
  <si>
    <t>18/04/2025</t>
  </si>
  <si>
    <t>19/04/2025</t>
  </si>
  <si>
    <t>20/04/2025</t>
  </si>
  <si>
    <t>21/04/2025</t>
  </si>
  <si>
    <t>22/04/2025</t>
  </si>
  <si>
    <t>23/04/2025</t>
  </si>
  <si>
    <t>27-04-2025</t>
  </si>
  <si>
    <t>29-04-2025</t>
  </si>
  <si>
    <t>30-04-2025</t>
  </si>
  <si>
    <t>03-01-2025</t>
  </si>
  <si>
    <t>05-01-2025</t>
  </si>
  <si>
    <t>07-01-25</t>
  </si>
  <si>
    <t>08-01-25</t>
  </si>
  <si>
    <t>10-01-25</t>
  </si>
  <si>
    <t>14-01-2025</t>
  </si>
  <si>
    <t>22-01-25</t>
  </si>
  <si>
    <t>23/01/2025</t>
  </si>
  <si>
    <t>24/01/2025</t>
  </si>
  <si>
    <t>27-01-25</t>
  </si>
  <si>
    <t>29-01-25</t>
  </si>
  <si>
    <t>01-02-2025</t>
  </si>
  <si>
    <t>04/02/2025</t>
  </si>
  <si>
    <t>06/02/2025</t>
  </si>
  <si>
    <t>09-02-25</t>
  </si>
  <si>
    <t>11-02-2025</t>
  </si>
  <si>
    <t>13-02-2025</t>
  </si>
  <si>
    <t>15/02/2025</t>
  </si>
  <si>
    <t>16/02/2025</t>
  </si>
  <si>
    <t>18/02/2025</t>
  </si>
  <si>
    <t>24/02/2025</t>
  </si>
  <si>
    <t>25/02/2025</t>
  </si>
  <si>
    <t>02/03/2025</t>
  </si>
  <si>
    <t>03-03-2025</t>
  </si>
  <si>
    <t>04-03-25</t>
  </si>
  <si>
    <t>05-03-25</t>
  </si>
  <si>
    <t>06/03/2025</t>
  </si>
  <si>
    <t>10-03-2025</t>
  </si>
  <si>
    <t>13-03-2025</t>
  </si>
  <si>
    <t>14/03/2025</t>
  </si>
  <si>
    <t>25-03-25</t>
  </si>
  <si>
    <t>29-03-2025</t>
  </si>
  <si>
    <t>05-04-2025</t>
  </si>
  <si>
    <t>17-04-25</t>
  </si>
  <si>
    <t>19-04-2025</t>
  </si>
  <si>
    <t>23-04-25</t>
  </si>
  <si>
    <t>24-04-2025</t>
  </si>
  <si>
    <t>26-04-25</t>
  </si>
  <si>
    <t>02-01-2025</t>
  </si>
  <si>
    <t>04-01-2025</t>
  </si>
  <si>
    <t>07/01/2025</t>
  </si>
  <si>
    <t>09/01/2025</t>
  </si>
  <si>
    <t>11-01-2025</t>
  </si>
  <si>
    <t>15-01-2025</t>
  </si>
  <si>
    <t>19-01-25</t>
  </si>
  <si>
    <t>21-01-2025</t>
  </si>
  <si>
    <t>26/01/2025</t>
  </si>
  <si>
    <t>28-01-25</t>
  </si>
  <si>
    <t>31-01-2025</t>
  </si>
  <si>
    <t>01/02/2025</t>
  </si>
  <si>
    <t>03-02-2025</t>
  </si>
  <si>
    <t>10-02-2025</t>
  </si>
  <si>
    <t>12-02-25</t>
  </si>
  <si>
    <t>13/02/2025</t>
  </si>
  <si>
    <t>21-02-2025</t>
  </si>
  <si>
    <t>22-02-25</t>
  </si>
  <si>
    <t>08-03-2025</t>
  </si>
  <si>
    <t>20-03-25</t>
  </si>
  <si>
    <t>22/03/2025</t>
  </si>
  <si>
    <t>24-03-2025</t>
  </si>
  <si>
    <t>30-03-25</t>
  </si>
  <si>
    <t>04-04-25</t>
  </si>
  <si>
    <t>05-04-25</t>
  </si>
  <si>
    <t>09/04/2025</t>
  </si>
  <si>
    <t>11-04-2025</t>
  </si>
  <si>
    <t>12-04-2025</t>
  </si>
  <si>
    <t>14/04/2025</t>
  </si>
  <si>
    <t>15-04-25</t>
  </si>
  <si>
    <t>16-04-25</t>
  </si>
  <si>
    <t>24/04/2025</t>
  </si>
  <si>
    <t>28/04/2025</t>
  </si>
  <si>
    <t>01/01/2025</t>
  </si>
  <si>
    <t>16-01-2025</t>
  </si>
  <si>
    <t>18/01/2025</t>
  </si>
  <si>
    <t>19/01/2025</t>
  </si>
  <si>
    <t>Mumbai</t>
  </si>
  <si>
    <t>Chennai</t>
  </si>
  <si>
    <t>Customer  Name</t>
  </si>
  <si>
    <t>Order  Date</t>
  </si>
  <si>
    <t>Valid Response</t>
  </si>
  <si>
    <t>Status Check</t>
  </si>
  <si>
    <t>Grand Total</t>
  </si>
  <si>
    <t>Sum of Sales</t>
  </si>
  <si>
    <t>Sum of Quantity</t>
  </si>
  <si>
    <t>Apr</t>
  </si>
  <si>
    <t>Jan</t>
  </si>
  <si>
    <t>Feb</t>
  </si>
  <si>
    <t>Mar</t>
  </si>
  <si>
    <t>Column Labels</t>
  </si>
  <si>
    <t>Months</t>
  </si>
  <si>
    <t>(All)</t>
  </si>
  <si>
    <t>Top Product</t>
  </si>
  <si>
    <t>Top Region</t>
  </si>
  <si>
    <t>Average Order Value</t>
  </si>
  <si>
    <t>Total Quantity</t>
  </si>
  <si>
    <t>Total orders</t>
  </si>
  <si>
    <t>Top City</t>
  </si>
  <si>
    <t>Count of OrderID</t>
  </si>
  <si>
    <t xml:space="preserve">   Total Revenue </t>
  </si>
  <si>
    <t>S. No.</t>
  </si>
  <si>
    <t>Key Insights :</t>
  </si>
  <si>
    <t xml:space="preserve"> </t>
  </si>
  <si>
    <t>Pivot_Table_Analysis</t>
  </si>
  <si>
    <t>Analysis Ready Data Table</t>
  </si>
  <si>
    <t>Cleaned Data with Missing Values</t>
  </si>
  <si>
    <t>Dynamic MIS Sales Dashboard</t>
  </si>
  <si>
    <r>
      <t xml:space="preserve">Laptop spearheaded sales at </t>
    </r>
    <r>
      <rPr>
        <b/>
        <sz val="14"/>
        <color rgb="FF002060"/>
        <rFont val="Segoe UI"/>
        <family val="2"/>
      </rPr>
      <t>₹5.51M</t>
    </r>
    <r>
      <rPr>
        <b/>
        <sz val="14"/>
        <color theme="7" tint="-0.249977111117893"/>
        <rFont val="Segoe UI"/>
        <family val="2"/>
      </rPr>
      <t>.</t>
    </r>
  </si>
  <si>
    <r>
      <t xml:space="preserve">West outperformed regions with </t>
    </r>
    <r>
      <rPr>
        <b/>
        <sz val="14"/>
        <color rgb="FF002060"/>
        <rFont val="Segoe UI"/>
        <family val="2"/>
      </rPr>
      <t>₹4.01M</t>
    </r>
    <r>
      <rPr>
        <b/>
        <sz val="14"/>
        <color theme="7" tint="-0.249977111117893"/>
        <rFont val="Segoe UI"/>
        <family val="2"/>
      </rPr>
      <t xml:space="preserve"> revenue.</t>
    </r>
  </si>
  <si>
    <r>
      <t xml:space="preserve">Bangalore topped cities at </t>
    </r>
    <r>
      <rPr>
        <b/>
        <sz val="14"/>
        <color rgb="FF002060"/>
        <rFont val="Segoe UI"/>
        <family val="2"/>
      </rPr>
      <t xml:space="preserve">₹3.64M </t>
    </r>
    <r>
      <rPr>
        <b/>
        <sz val="14"/>
        <color theme="7" tint="-0.249977111117893"/>
        <rFont val="Segoe UI"/>
        <family val="2"/>
      </rPr>
      <t>sales.</t>
    </r>
  </si>
  <si>
    <r>
      <t xml:space="preserve">Tablet trailed products at </t>
    </r>
    <r>
      <rPr>
        <b/>
        <sz val="14"/>
        <color rgb="FF002060"/>
        <rFont val="Segoe UI"/>
        <family val="2"/>
      </rPr>
      <t>₹2.03M</t>
    </r>
    <r>
      <rPr>
        <b/>
        <sz val="14"/>
        <color theme="7" tint="-0.249977111117893"/>
        <rFont val="Segoe UI"/>
        <family val="2"/>
      </rPr>
      <t xml:space="preserve"> revenue.</t>
    </r>
  </si>
  <si>
    <r>
      <rPr>
        <b/>
        <sz val="14"/>
        <color rgb="FF00B050"/>
        <rFont val="Segoe UI"/>
        <family val="2"/>
      </rPr>
      <t xml:space="preserve">342 </t>
    </r>
    <r>
      <rPr>
        <b/>
        <sz val="14"/>
        <color theme="7" tint="-0.249977111117893"/>
        <rFont val="Segoe UI"/>
        <family val="2"/>
      </rPr>
      <t xml:space="preserve">orders yielded </t>
    </r>
    <r>
      <rPr>
        <b/>
        <sz val="14"/>
        <color rgb="FF00B050"/>
        <rFont val="Segoe UI"/>
        <family val="2"/>
      </rPr>
      <t>₹12.18M</t>
    </r>
    <r>
      <rPr>
        <b/>
        <sz val="14"/>
        <color theme="7" tint="-0.249977111117893"/>
        <rFont val="Segoe UI"/>
        <family val="2"/>
      </rPr>
      <t xml:space="preserve">, averaging </t>
    </r>
    <r>
      <rPr>
        <b/>
        <sz val="14"/>
        <color rgb="FF002060"/>
        <rFont val="Segoe UI"/>
        <family val="2"/>
      </rPr>
      <t>₹35.6K</t>
    </r>
    <r>
      <rPr>
        <b/>
        <sz val="14"/>
        <color theme="7" tint="-0.249977111117893"/>
        <rFont val="Segoe UI"/>
        <family val="2"/>
      </rPr>
      <t xml:space="preserve"> (AOV) each.</t>
    </r>
  </si>
  <si>
    <t>Raw Source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</si>
</sst>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 #,##0.00"/>
    <numFmt numFmtId="166" formatCode="\₹\ 0.00,,&quot; M&quot;"/>
  </numFmts>
  <fonts count="23" x14ac:knownFonts="1">
    <font>
      <sz val="11"/>
      <color theme="1"/>
      <name val="Calibri"/>
      <family val="2"/>
      <scheme val="minor"/>
    </font>
    <font>
      <b/>
      <sz val="11"/>
      <name val="Calibri"/>
      <family val="2"/>
      <scheme val="minor"/>
    </font>
    <font>
      <b/>
      <sz val="11"/>
      <color theme="1"/>
      <name val="Calibri"/>
      <family val="2"/>
      <scheme val="minor"/>
    </font>
    <font>
      <b/>
      <sz val="12"/>
      <name val="Calibri"/>
      <family val="2"/>
      <scheme val="minor"/>
    </font>
    <font>
      <sz val="12"/>
      <color theme="1"/>
      <name val="Calibri"/>
      <family val="2"/>
      <scheme val="minor"/>
    </font>
    <font>
      <b/>
      <sz val="11"/>
      <color rgb="FFC00000"/>
      <name val="Calibri"/>
      <family val="2"/>
      <scheme val="minor"/>
    </font>
    <font>
      <sz val="11"/>
      <name val="Calibri"/>
      <family val="2"/>
      <scheme val="minor"/>
    </font>
    <font>
      <sz val="11"/>
      <color rgb="FFC00000"/>
      <name val="Calibri"/>
      <family val="2"/>
      <scheme val="minor"/>
    </font>
    <font>
      <u/>
      <sz val="11"/>
      <color theme="10"/>
      <name val="Calibri"/>
      <family val="2"/>
      <scheme val="minor"/>
    </font>
    <font>
      <b/>
      <sz val="12"/>
      <color theme="10"/>
      <name val="Bahnschrift Light"/>
      <family val="2"/>
    </font>
    <font>
      <b/>
      <sz val="11"/>
      <color theme="1"/>
      <name val="Cambria"/>
      <family val="1"/>
      <scheme val="major"/>
    </font>
    <font>
      <b/>
      <sz val="16"/>
      <color theme="1"/>
      <name val="Segoe UI"/>
      <family val="2"/>
    </font>
    <font>
      <b/>
      <sz val="12"/>
      <name val="Segoe UI"/>
      <family val="2"/>
    </font>
    <font>
      <b/>
      <sz val="14"/>
      <color theme="1"/>
      <name val="Segoe UI"/>
      <family val="2"/>
    </font>
    <font>
      <b/>
      <sz val="18"/>
      <color rgb="FF0070C0"/>
      <name val="Segoe UI Semibold"/>
      <family val="2"/>
    </font>
    <font>
      <b/>
      <sz val="36"/>
      <color rgb="FF0070C0"/>
      <name val="Sitka Display"/>
    </font>
    <font>
      <b/>
      <sz val="14"/>
      <color theme="1"/>
      <name val="Calibri"/>
      <family val="2"/>
      <scheme val="minor"/>
    </font>
    <font>
      <b/>
      <sz val="14"/>
      <color theme="7" tint="-0.249977111117893"/>
      <name val="Segoe UI"/>
      <family val="2"/>
    </font>
    <font>
      <b/>
      <sz val="14"/>
      <color rgb="FF002060"/>
      <name val="Segoe UI"/>
      <family val="2"/>
    </font>
    <font>
      <b/>
      <sz val="14"/>
      <color rgb="FF00B050"/>
      <name val="Segoe UI"/>
      <family val="2"/>
    </font>
    <font>
      <sz val="28"/>
      <color rgb="FF00B0F0"/>
      <name val="Segoe UI Semibold"/>
      <family val="2"/>
    </font>
    <font>
      <b/>
      <sz val="22"/>
      <color rgb="FF0070C0"/>
      <name val="Segoe UI Semibold"/>
      <family val="2"/>
    </font>
    <font>
      <b/>
      <sz val="24"/>
      <color rgb="FF0070C0"/>
      <name val="Segoe UI Semibold"/>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medium">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theme="0"/>
      </top>
      <bottom style="thin">
        <color indexed="64"/>
      </bottom>
      <diagonal/>
    </border>
    <border>
      <left style="thin">
        <color indexed="64"/>
      </left>
      <right/>
      <top style="thin">
        <color indexed="64"/>
      </top>
      <bottom style="thin">
        <color indexed="64"/>
      </bottom>
      <diagonal/>
    </border>
    <border>
      <left style="thin">
        <color theme="0"/>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146">
    <xf numFmtId="0" fontId="0" fillId="0" borderId="0" xfId="0"/>
    <xf numFmtId="0" fontId="0" fillId="0" borderId="0" xfId="0" applyAlignment="1">
      <alignment horizontal="left" indent="1"/>
    </xf>
    <xf numFmtId="164" fontId="0" fillId="0" borderId="0" xfId="0" applyNumberFormat="1" applyAlignment="1">
      <alignment horizontal="left" indent="1"/>
    </xf>
    <xf numFmtId="0" fontId="0" fillId="2" borderId="1" xfId="0" applyFill="1" applyBorder="1" applyAlignment="1">
      <alignment horizontal="left" indent="1"/>
    </xf>
    <xf numFmtId="164" fontId="0" fillId="2" borderId="1" xfId="0" applyNumberFormat="1" applyFill="1" applyBorder="1" applyAlignment="1">
      <alignment horizontal="left" indent="1"/>
    </xf>
    <xf numFmtId="0" fontId="0" fillId="2" borderId="2" xfId="0" applyFill="1" applyBorder="1" applyAlignment="1">
      <alignment horizontal="left" indent="1"/>
    </xf>
    <xf numFmtId="164" fontId="0" fillId="2" borderId="2" xfId="0" applyNumberFormat="1" applyFill="1" applyBorder="1" applyAlignment="1">
      <alignment horizontal="left" indent="1"/>
    </xf>
    <xf numFmtId="0" fontId="0" fillId="0" borderId="3" xfId="0" applyBorder="1" applyAlignment="1">
      <alignment horizontal="left" indent="1"/>
    </xf>
    <xf numFmtId="164" fontId="0" fillId="2" borderId="11" xfId="0" applyNumberFormat="1" applyFill="1" applyBorder="1" applyAlignment="1">
      <alignment horizontal="left" indent="1"/>
    </xf>
    <xf numFmtId="0" fontId="0" fillId="2" borderId="11" xfId="0" applyFill="1" applyBorder="1" applyAlignment="1">
      <alignment horizontal="left" indent="1"/>
    </xf>
    <xf numFmtId="0" fontId="0" fillId="2" borderId="8" xfId="0" applyFill="1" applyBorder="1" applyAlignment="1"/>
    <xf numFmtId="0" fontId="0" fillId="2" borderId="9" xfId="0" applyFill="1" applyBorder="1" applyAlignment="1"/>
    <xf numFmtId="0" fontId="0" fillId="2" borderId="10" xfId="0" applyFill="1" applyBorder="1" applyAlignment="1"/>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1" fillId="3" borderId="5" xfId="0" applyFont="1" applyFill="1" applyBorder="1" applyAlignment="1">
      <alignment horizontal="left" indent="1"/>
    </xf>
    <xf numFmtId="164" fontId="1" fillId="3" borderId="6" xfId="0" applyNumberFormat="1" applyFont="1" applyFill="1" applyBorder="1" applyAlignment="1">
      <alignment horizontal="left" indent="1"/>
    </xf>
    <xf numFmtId="0" fontId="1" fillId="3" borderId="6" xfId="0" applyFont="1" applyFill="1" applyBorder="1" applyAlignment="1">
      <alignment horizontal="left" indent="1"/>
    </xf>
    <xf numFmtId="0" fontId="1" fillId="3" borderId="7" xfId="0" applyFont="1" applyFill="1" applyBorder="1" applyAlignment="1">
      <alignment horizontal="left" indent="1"/>
    </xf>
    <xf numFmtId="0" fontId="0" fillId="0" borderId="4" xfId="0" applyBorder="1" applyAlignment="1">
      <alignment horizontal="center"/>
    </xf>
    <xf numFmtId="0" fontId="1" fillId="3" borderId="12" xfId="0" applyFont="1" applyFill="1" applyBorder="1" applyAlignment="1">
      <alignment horizontal="left" indent="1"/>
    </xf>
    <xf numFmtId="0" fontId="0" fillId="0" borderId="14" xfId="0" applyBorder="1"/>
    <xf numFmtId="164" fontId="4" fillId="2" borderId="15" xfId="0" applyNumberFormat="1" applyFont="1" applyFill="1" applyBorder="1" applyAlignment="1">
      <alignment horizontal="left" indent="1"/>
    </xf>
    <xf numFmtId="0" fontId="4" fillId="2" borderId="15" xfId="0" applyFont="1" applyFill="1" applyBorder="1" applyAlignment="1">
      <alignment horizontal="left" indent="1"/>
    </xf>
    <xf numFmtId="0" fontId="4" fillId="2" borderId="16" xfId="0" applyFont="1" applyFill="1" applyBorder="1" applyAlignment="1">
      <alignment horizontal="center" vertical="center"/>
    </xf>
    <xf numFmtId="164" fontId="4" fillId="2" borderId="1" xfId="0" applyNumberFormat="1" applyFont="1" applyFill="1" applyBorder="1" applyAlignment="1">
      <alignment horizontal="left" indent="1"/>
    </xf>
    <xf numFmtId="0" fontId="4" fillId="2" borderId="1" xfId="0" applyFont="1" applyFill="1" applyBorder="1" applyAlignment="1">
      <alignment horizontal="left" indent="1"/>
    </xf>
    <xf numFmtId="0" fontId="4" fillId="2" borderId="18" xfId="0" applyFont="1" applyFill="1" applyBorder="1" applyAlignment="1">
      <alignment horizontal="center" vertical="center"/>
    </xf>
    <xf numFmtId="0" fontId="4" fillId="2" borderId="16" xfId="0" applyFont="1" applyFill="1" applyBorder="1" applyAlignment="1">
      <alignment horizontal="center"/>
    </xf>
    <xf numFmtId="0" fontId="4" fillId="2" borderId="18" xfId="0" applyFont="1" applyFill="1" applyBorder="1" applyAlignment="1">
      <alignment horizontal="center"/>
    </xf>
    <xf numFmtId="0" fontId="5" fillId="3" borderId="19" xfId="0" applyFont="1" applyFill="1" applyBorder="1"/>
    <xf numFmtId="0" fontId="0" fillId="0" borderId="0" xfId="0" applyBorder="1" applyAlignment="1">
      <alignment horizontal="left" indent="1"/>
    </xf>
    <xf numFmtId="0" fontId="6" fillId="3" borderId="3" xfId="0" applyFont="1" applyFill="1" applyBorder="1"/>
    <xf numFmtId="0" fontId="6" fillId="0" borderId="21" xfId="0" applyNumberFormat="1" applyFont="1" applyBorder="1"/>
    <xf numFmtId="0" fontId="6" fillId="3" borderId="19" xfId="0" applyNumberFormat="1" applyFont="1" applyFill="1" applyBorder="1" applyAlignment="1">
      <alignment horizontal="center"/>
    </xf>
    <xf numFmtId="0" fontId="0" fillId="3" borderId="25" xfId="0" applyNumberFormat="1" applyFill="1" applyBorder="1" applyAlignment="1">
      <alignment horizontal="center"/>
    </xf>
    <xf numFmtId="0" fontId="5" fillId="3" borderId="20" xfId="0" applyFont="1" applyFill="1" applyBorder="1"/>
    <xf numFmtId="0" fontId="0" fillId="3" borderId="3" xfId="0" applyNumberFormat="1" applyFill="1" applyBorder="1" applyAlignment="1">
      <alignment horizontal="center"/>
    </xf>
    <xf numFmtId="0" fontId="0" fillId="3" borderId="3" xfId="0" applyFill="1" applyBorder="1"/>
    <xf numFmtId="0" fontId="0" fillId="0" borderId="24" xfId="0" pivotButton="1" applyBorder="1"/>
    <xf numFmtId="0" fontId="5" fillId="3" borderId="24" xfId="0" applyFont="1" applyFill="1" applyBorder="1" applyAlignment="1">
      <alignment horizontal="center"/>
    </xf>
    <xf numFmtId="0" fontId="2" fillId="3" borderId="19" xfId="0" applyFont="1" applyFill="1" applyBorder="1" applyAlignment="1"/>
    <xf numFmtId="0" fontId="0" fillId="0" borderId="17" xfId="0" applyNumberFormat="1" applyBorder="1"/>
    <xf numFmtId="0" fontId="5" fillId="3" borderId="4" xfId="0" applyFont="1" applyFill="1" applyBorder="1" applyAlignment="1">
      <alignment horizontal="center"/>
    </xf>
    <xf numFmtId="0" fontId="0" fillId="0" borderId="0" xfId="0" applyAlignment="1">
      <alignment horizontal="center"/>
    </xf>
    <xf numFmtId="0" fontId="1" fillId="3" borderId="19" xfId="0" applyFont="1" applyFill="1" applyBorder="1" applyAlignment="1">
      <alignment horizontal="center"/>
    </xf>
    <xf numFmtId="0" fontId="0" fillId="0" borderId="1" xfId="0" applyNumberFormat="1" applyBorder="1"/>
    <xf numFmtId="0" fontId="0" fillId="0" borderId="20" xfId="0" applyNumberFormat="1" applyBorder="1" applyAlignment="1">
      <alignment horizontal="center"/>
    </xf>
    <xf numFmtId="0" fontId="0" fillId="0" borderId="28" xfId="0" applyNumberFormat="1" applyBorder="1" applyAlignment="1">
      <alignment horizontal="center"/>
    </xf>
    <xf numFmtId="0" fontId="0" fillId="0" borderId="29" xfId="0" applyNumberFormat="1" applyBorder="1" applyAlignment="1">
      <alignment horizontal="center"/>
    </xf>
    <xf numFmtId="0" fontId="0" fillId="0" borderId="30" xfId="0" applyNumberFormat="1" applyBorder="1" applyAlignment="1">
      <alignment horizontal="center"/>
    </xf>
    <xf numFmtId="0" fontId="0" fillId="0" borderId="21" xfId="0" applyBorder="1"/>
    <xf numFmtId="0" fontId="0" fillId="0" borderId="23" xfId="0" applyBorder="1"/>
    <xf numFmtId="0" fontId="0" fillId="0" borderId="22" xfId="0" applyBorder="1"/>
    <xf numFmtId="0" fontId="0" fillId="0" borderId="14" xfId="0" applyBorder="1" applyAlignment="1">
      <alignment horizontal="left"/>
    </xf>
    <xf numFmtId="0" fontId="0" fillId="0" borderId="27" xfId="0" applyBorder="1" applyAlignment="1">
      <alignment horizontal="left"/>
    </xf>
    <xf numFmtId="0" fontId="7" fillId="3" borderId="24" xfId="0" applyFont="1" applyFill="1" applyBorder="1" applyAlignment="1">
      <alignment horizontal="center"/>
    </xf>
    <xf numFmtId="0" fontId="5" fillId="3" borderId="19" xfId="0" applyFont="1" applyFill="1" applyBorder="1" applyAlignment="1">
      <alignment horizontal="center" indent="1"/>
    </xf>
    <xf numFmtId="0" fontId="0" fillId="0" borderId="1" xfId="0" applyNumberFormat="1" applyBorder="1" applyAlignment="1">
      <alignment horizontal="center"/>
    </xf>
    <xf numFmtId="0" fontId="0" fillId="0" borderId="17" xfId="0" applyNumberFormat="1" applyBorder="1" applyAlignment="1">
      <alignment horizontal="center"/>
    </xf>
    <xf numFmtId="0" fontId="0" fillId="0" borderId="26" xfId="0" applyBorder="1" applyAlignment="1">
      <alignment horizontal="left"/>
    </xf>
    <xf numFmtId="0" fontId="0" fillId="0" borderId="31" xfId="0" applyNumberFormat="1" applyBorder="1" applyAlignment="1">
      <alignment horizontal="center"/>
    </xf>
    <xf numFmtId="0" fontId="0" fillId="0" borderId="32" xfId="0" applyBorder="1" applyAlignment="1">
      <alignment horizontal="left"/>
    </xf>
    <xf numFmtId="0" fontId="0" fillId="3" borderId="13" xfId="0" applyNumberFormat="1" applyFont="1" applyFill="1" applyBorder="1" applyAlignment="1">
      <alignment horizontal="center"/>
    </xf>
    <xf numFmtId="0" fontId="0" fillId="3" borderId="4" xfId="0" applyNumberFormat="1" applyFont="1" applyFill="1" applyBorder="1" applyAlignment="1">
      <alignment horizontal="center"/>
    </xf>
    <xf numFmtId="0" fontId="6" fillId="3" borderId="4" xfId="0" applyNumberFormat="1" applyFont="1" applyFill="1" applyBorder="1" applyAlignment="1">
      <alignment horizontal="center"/>
    </xf>
    <xf numFmtId="0" fontId="6" fillId="3" borderId="13" xfId="0" applyNumberFormat="1" applyFont="1" applyFill="1" applyBorder="1" applyAlignment="1">
      <alignment horizontal="center"/>
    </xf>
    <xf numFmtId="49" fontId="9" fillId="0" borderId="0" xfId="1" applyNumberFormat="1" applyFont="1" applyAlignment="1">
      <alignment vertical="center" textRotation="1"/>
    </xf>
    <xf numFmtId="0" fontId="6" fillId="0" borderId="23" xfId="0" applyNumberFormat="1" applyFont="1" applyBorder="1"/>
    <xf numFmtId="0" fontId="7" fillId="3" borderId="24" xfId="0" applyFont="1" applyFill="1" applyBorder="1"/>
    <xf numFmtId="0" fontId="7" fillId="3" borderId="33" xfId="0" applyFont="1" applyFill="1" applyBorder="1"/>
    <xf numFmtId="0" fontId="7" fillId="3" borderId="25" xfId="0" applyFont="1" applyFill="1" applyBorder="1"/>
    <xf numFmtId="0" fontId="7" fillId="3" borderId="33" xfId="0" applyFont="1" applyFill="1" applyBorder="1" applyAlignment="1">
      <alignment horizontal="center"/>
    </xf>
    <xf numFmtId="0" fontId="0" fillId="0" borderId="25" xfId="0" applyBorder="1"/>
    <xf numFmtId="0" fontId="0" fillId="0" borderId="34" xfId="0" applyBorder="1"/>
    <xf numFmtId="0" fontId="0" fillId="0" borderId="37" xfId="0" applyNumberFormat="1" applyBorder="1" applyAlignment="1">
      <alignment horizontal="center"/>
    </xf>
    <xf numFmtId="0" fontId="0" fillId="0" borderId="0" xfId="0" applyNumberFormat="1" applyBorder="1" applyAlignment="1">
      <alignment horizontal="center"/>
    </xf>
    <xf numFmtId="0" fontId="0" fillId="3" borderId="33" xfId="0" applyNumberFormat="1" applyFill="1" applyBorder="1" applyAlignment="1">
      <alignment horizontal="center"/>
    </xf>
    <xf numFmtId="0" fontId="0" fillId="0" borderId="38" xfId="0" applyNumberFormat="1" applyBorder="1" applyAlignment="1">
      <alignment horizontal="center"/>
    </xf>
    <xf numFmtId="0" fontId="0" fillId="0" borderId="40" xfId="0" applyNumberFormat="1" applyBorder="1" applyAlignment="1">
      <alignment horizontal="center"/>
    </xf>
    <xf numFmtId="0" fontId="0" fillId="0" borderId="41" xfId="0" applyNumberFormat="1" applyBorder="1" applyAlignment="1">
      <alignment horizontal="center"/>
    </xf>
    <xf numFmtId="0" fontId="0" fillId="0" borderId="42" xfId="0" applyNumberFormat="1" applyBorder="1" applyAlignment="1">
      <alignment horizontal="center"/>
    </xf>
    <xf numFmtId="0" fontId="5" fillId="3" borderId="39" xfId="0" applyFont="1" applyFill="1" applyBorder="1"/>
    <xf numFmtId="0" fontId="10" fillId="0" borderId="36" xfId="0" applyFont="1" applyBorder="1" applyAlignment="1">
      <alignment horizontal="center" vertical="center"/>
    </xf>
    <xf numFmtId="49" fontId="0" fillId="0" borderId="0" xfId="0" applyNumberFormat="1"/>
    <xf numFmtId="165" fontId="10" fillId="0" borderId="36" xfId="0" applyNumberFormat="1" applyFont="1" applyBorder="1" applyAlignment="1">
      <alignment horizontal="center" vertical="center"/>
    </xf>
    <xf numFmtId="166" fontId="2" fillId="0" borderId="35" xfId="0" applyNumberFormat="1" applyFont="1" applyBorder="1" applyAlignment="1">
      <alignment horizontal="center" vertical="center"/>
    </xf>
    <xf numFmtId="0" fontId="12" fillId="3" borderId="35" xfId="0" applyFont="1" applyFill="1" applyBorder="1" applyAlignment="1">
      <alignment horizontal="center" vertical="center"/>
    </xf>
    <xf numFmtId="0" fontId="4" fillId="0" borderId="0" xfId="0" applyFont="1"/>
    <xf numFmtId="0" fontId="12" fillId="0" borderId="35" xfId="0" applyFont="1" applyFill="1" applyBorder="1" applyAlignment="1">
      <alignment horizontal="center" vertical="center"/>
    </xf>
    <xf numFmtId="0" fontId="0" fillId="0" borderId="0" xfId="0" applyAlignment="1"/>
    <xf numFmtId="0" fontId="11" fillId="0" borderId="0" xfId="0" applyFont="1" applyAlignment="1">
      <alignment vertical="center" wrapText="1"/>
    </xf>
    <xf numFmtId="0" fontId="13" fillId="0" borderId="1" xfId="0" applyFont="1" applyBorder="1" applyAlignment="1">
      <alignment vertical="center" wrapText="1"/>
    </xf>
    <xf numFmtId="49" fontId="4" fillId="2" borderId="45" xfId="0" applyNumberFormat="1" applyFont="1" applyFill="1" applyBorder="1" applyAlignment="1">
      <alignment horizontal="center"/>
    </xf>
    <xf numFmtId="49" fontId="4" fillId="2" borderId="9" xfId="0" applyNumberFormat="1" applyFont="1" applyFill="1" applyBorder="1" applyAlignment="1">
      <alignment horizontal="center"/>
    </xf>
    <xf numFmtId="0" fontId="4" fillId="2" borderId="44" xfId="0" applyFont="1" applyFill="1" applyBorder="1" applyAlignment="1">
      <alignment horizontal="left" indent="1"/>
    </xf>
    <xf numFmtId="0" fontId="4" fillId="2" borderId="46" xfId="0" applyFont="1" applyFill="1" applyBorder="1" applyAlignment="1">
      <alignment horizontal="left" indent="1"/>
    </xf>
    <xf numFmtId="49" fontId="3" fillId="3" borderId="5" xfId="0" applyNumberFormat="1" applyFont="1" applyFill="1" applyBorder="1" applyAlignment="1">
      <alignment horizontal="center"/>
    </xf>
    <xf numFmtId="0" fontId="3" fillId="3" borderId="6" xfId="0" applyFont="1" applyFill="1" applyBorder="1" applyAlignment="1">
      <alignment horizontal="center"/>
    </xf>
    <xf numFmtId="0" fontId="3" fillId="3" borderId="27" xfId="0" applyFont="1" applyFill="1" applyBorder="1" applyAlignment="1">
      <alignment horizontal="center"/>
    </xf>
    <xf numFmtId="49" fontId="4" fillId="2" borderId="10" xfId="0" applyNumberFormat="1" applyFont="1" applyFill="1" applyBorder="1" applyAlignment="1">
      <alignment horizontal="center"/>
    </xf>
    <xf numFmtId="164" fontId="4" fillId="2" borderId="11" xfId="0" applyNumberFormat="1" applyFont="1" applyFill="1" applyBorder="1" applyAlignment="1">
      <alignment horizontal="left" indent="1"/>
    </xf>
    <xf numFmtId="0" fontId="4" fillId="2" borderId="11" xfId="0" applyFont="1" applyFill="1" applyBorder="1" applyAlignment="1">
      <alignment horizontal="left" indent="1"/>
    </xf>
    <xf numFmtId="0" fontId="4" fillId="2" borderId="47" xfId="0" applyFont="1" applyFill="1" applyBorder="1" applyAlignment="1">
      <alignment horizontal="center"/>
    </xf>
    <xf numFmtId="0" fontId="4" fillId="2" borderId="47" xfId="0" applyFont="1" applyFill="1" applyBorder="1" applyAlignment="1">
      <alignment horizontal="center" vertical="center"/>
    </xf>
    <xf numFmtId="0" fontId="4" fillId="2" borderId="43" xfId="0" applyFont="1" applyFill="1" applyBorder="1" applyAlignment="1">
      <alignment horizontal="left" indent="1"/>
    </xf>
    <xf numFmtId="166" fontId="2" fillId="0" borderId="1" xfId="0" applyNumberFormat="1" applyFont="1" applyBorder="1" applyAlignment="1">
      <alignment horizontal="center"/>
    </xf>
    <xf numFmtId="0" fontId="2" fillId="0" borderId="1" xfId="0" applyFont="1" applyBorder="1" applyAlignment="1">
      <alignment horizontal="center"/>
    </xf>
    <xf numFmtId="164" fontId="3" fillId="3" borderId="6" xfId="0" applyNumberFormat="1" applyFont="1" applyFill="1" applyBorder="1" applyAlignment="1">
      <alignment horizontal="left" indent="1"/>
    </xf>
    <xf numFmtId="0" fontId="3" fillId="3" borderId="6" xfId="0" applyFont="1" applyFill="1" applyBorder="1" applyAlignment="1">
      <alignment horizontal="left" indent="1"/>
    </xf>
    <xf numFmtId="0" fontId="3" fillId="3" borderId="7" xfId="0" applyFont="1" applyFill="1" applyBorder="1" applyAlignment="1">
      <alignment horizontal="left" indent="1"/>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0" borderId="26" xfId="0" applyFont="1" applyBorder="1" applyAlignment="1">
      <alignment horizontal="center" vertical="center"/>
    </xf>
    <xf numFmtId="0" fontId="20" fillId="0" borderId="37" xfId="0" applyFont="1" applyBorder="1" applyAlignment="1">
      <alignment horizontal="center" vertical="center"/>
    </xf>
    <xf numFmtId="0" fontId="20" fillId="0" borderId="48" xfId="0" applyFont="1" applyBorder="1" applyAlignment="1">
      <alignment horizontal="center" vertical="center"/>
    </xf>
    <xf numFmtId="0" fontId="20" fillId="0" borderId="27" xfId="0" applyFont="1" applyBorder="1" applyAlignment="1">
      <alignment horizontal="center" vertical="center"/>
    </xf>
    <xf numFmtId="0" fontId="20" fillId="0" borderId="38" xfId="0" applyFont="1" applyBorder="1" applyAlignment="1">
      <alignment horizontal="center" vertical="center"/>
    </xf>
    <xf numFmtId="0" fontId="20" fillId="0" borderId="49" xfId="0" applyFont="1" applyBorder="1" applyAlignment="1">
      <alignment horizontal="center" vertical="center"/>
    </xf>
    <xf numFmtId="0" fontId="14" fillId="0" borderId="26" xfId="0" applyFont="1" applyBorder="1" applyAlignment="1">
      <alignment horizontal="center" vertical="center"/>
    </xf>
    <xf numFmtId="0" fontId="14" fillId="0" borderId="37" xfId="0" applyFont="1" applyBorder="1" applyAlignment="1">
      <alignment horizontal="center" vertical="center"/>
    </xf>
    <xf numFmtId="0" fontId="14" fillId="0" borderId="48" xfId="0" applyFont="1" applyBorder="1" applyAlignment="1">
      <alignment horizontal="center" vertical="center"/>
    </xf>
    <xf numFmtId="0" fontId="14" fillId="0" borderId="27" xfId="0" applyFont="1" applyBorder="1" applyAlignment="1">
      <alignment horizontal="center" vertical="center"/>
    </xf>
    <xf numFmtId="0" fontId="14" fillId="0" borderId="38" xfId="0" applyFont="1" applyBorder="1" applyAlignment="1">
      <alignment horizontal="center" vertical="center"/>
    </xf>
    <xf numFmtId="0" fontId="14" fillId="0" borderId="49" xfId="0" applyFont="1" applyBorder="1" applyAlignment="1">
      <alignment horizontal="center" vertical="center"/>
    </xf>
    <xf numFmtId="0" fontId="21" fillId="0" borderId="26" xfId="0" applyFont="1" applyBorder="1" applyAlignment="1">
      <alignment horizontal="center" vertical="center"/>
    </xf>
    <xf numFmtId="0" fontId="21" fillId="0" borderId="37" xfId="0" applyFont="1" applyBorder="1" applyAlignment="1">
      <alignment horizontal="center" vertical="center"/>
    </xf>
    <xf numFmtId="0" fontId="21" fillId="0" borderId="48" xfId="0" applyFont="1" applyBorder="1" applyAlignment="1">
      <alignment horizontal="center" vertical="center"/>
    </xf>
    <xf numFmtId="0" fontId="21" fillId="0" borderId="27" xfId="0" applyFont="1" applyBorder="1" applyAlignment="1">
      <alignment horizontal="center" vertical="center"/>
    </xf>
    <xf numFmtId="0" fontId="21" fillId="0" borderId="38" xfId="0" applyFont="1" applyBorder="1" applyAlignment="1">
      <alignment horizontal="center" vertical="center"/>
    </xf>
    <xf numFmtId="0" fontId="21" fillId="0" borderId="49" xfId="0" applyFont="1" applyBorder="1" applyAlignment="1">
      <alignment horizontal="center" vertical="center"/>
    </xf>
    <xf numFmtId="0" fontId="22" fillId="0" borderId="26" xfId="0" applyFont="1" applyFill="1" applyBorder="1" applyAlignment="1">
      <alignment horizontal="center" vertical="center"/>
    </xf>
    <xf numFmtId="0" fontId="22" fillId="0" borderId="37" xfId="0" applyFont="1" applyFill="1" applyBorder="1" applyAlignment="1">
      <alignment horizontal="center" vertical="center"/>
    </xf>
    <xf numFmtId="0" fontId="22" fillId="0" borderId="48" xfId="0" applyFont="1" applyFill="1" applyBorder="1" applyAlignment="1">
      <alignment horizontal="center" vertical="center"/>
    </xf>
    <xf numFmtId="0" fontId="22" fillId="0" borderId="27" xfId="0" applyFont="1" applyFill="1" applyBorder="1" applyAlignment="1">
      <alignment horizontal="center" vertical="center"/>
    </xf>
    <xf numFmtId="0" fontId="22" fillId="0" borderId="38" xfId="0" applyFont="1" applyFill="1" applyBorder="1" applyAlignment="1">
      <alignment horizontal="center" vertical="center"/>
    </xf>
    <xf numFmtId="0" fontId="22" fillId="0" borderId="49" xfId="0" applyFont="1" applyFill="1" applyBorder="1" applyAlignment="1">
      <alignment horizontal="center" vertical="center"/>
    </xf>
    <xf numFmtId="0" fontId="13" fillId="0" borderId="43"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8" xfId="0" applyFont="1" applyBorder="1" applyAlignment="1">
      <alignment horizontal="center" vertical="center" wrapText="1"/>
    </xf>
    <xf numFmtId="0" fontId="15" fillId="0" borderId="0" xfId="0" applyFont="1" applyBorder="1" applyAlignment="1">
      <alignment horizontal="center" vertical="center"/>
    </xf>
  </cellXfs>
  <cellStyles count="2">
    <cellStyle name="Hyperlink" xfId="1" builtinId="8"/>
    <cellStyle name="Normal" xfId="0" builtinId="0"/>
  </cellStyles>
  <dxfs count="236">
    <dxf>
      <font>
        <color rgb="FFC00000"/>
      </font>
    </dxf>
    <dxf>
      <font>
        <color rgb="FFC00000"/>
      </font>
    </dxf>
    <dxf>
      <alignment horizontal="center"/>
    </dxf>
    <dxf>
      <border>
        <top style="medium">
          <color indexed="64"/>
        </top>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fill>
        <patternFill patternType="solid">
          <bgColor rgb="FF92D050"/>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bgColor rgb="FF92D050"/>
        </patternFill>
      </fill>
    </dxf>
    <dxf>
      <fill>
        <patternFill>
          <bgColor rgb="FF92D050"/>
        </patternFill>
      </fill>
    </dxf>
    <dxf>
      <font>
        <b/>
      </font>
    </dxf>
    <dxf>
      <font>
        <b/>
      </font>
    </dxf>
    <dxf>
      <font>
        <color rgb="FFC00000"/>
      </font>
    </dxf>
    <dxf>
      <font>
        <color rgb="FFC00000"/>
      </font>
    </dxf>
    <dxf>
      <font>
        <color theme="1"/>
      </font>
    </dxf>
    <dxf>
      <font>
        <color theme="1"/>
      </font>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C00000"/>
      </font>
    </dxf>
    <dxf>
      <font>
        <color rgb="FFC00000"/>
      </font>
    </dxf>
    <dxf>
      <font>
        <color rgb="FFC00000"/>
      </font>
    </dxf>
    <dxf>
      <fill>
        <patternFill patternType="solid">
          <bgColor rgb="FF92D050"/>
        </patternFill>
      </fill>
    </dxf>
    <dxf>
      <fill>
        <patternFill>
          <bgColor rgb="FF92D050"/>
        </patternFill>
      </fill>
    </dxf>
    <dxf>
      <fill>
        <patternFill patternType="solid">
          <bgColor rgb="FF92D050"/>
        </patternFill>
      </fill>
    </dxf>
    <dxf>
      <fill>
        <patternFill patternType="solid">
          <bgColor rgb="FF92D050"/>
        </patternFill>
      </fill>
    </dxf>
    <dxf>
      <alignment horizontal="center"/>
    </dxf>
    <dxf>
      <alignment horizontal="center"/>
    </dxf>
    <dxf>
      <fill>
        <patternFill patternType="solid">
          <bgColor rgb="FF92D050"/>
        </patternFill>
      </fill>
    </dxf>
    <dxf>
      <border>
        <right style="medium">
          <color indexed="64"/>
        </right>
      </border>
    </dxf>
    <dxf>
      <border>
        <right style="medium">
          <color indexed="64"/>
        </right>
      </border>
    </dxf>
    <dxf>
      <border>
        <right style="medium">
          <color indexed="64"/>
        </right>
      </border>
    </dxf>
    <dxf>
      <border>
        <right style="medium">
          <color indexed="64"/>
        </right>
      </border>
    </dxf>
    <dxf>
      <font>
        <b/>
        <color rgb="FFC00000"/>
      </font>
      <fill>
        <patternFill patternType="solid">
          <fgColor indexed="64"/>
          <bgColor rgb="FF92D050"/>
        </patternFill>
      </fill>
      <alignment horizontal="general" vertical="bottom" textRotation="0" wrapText="0" indent="0" justifyLastLine="0" shrinkToFit="0" readingOrder="0"/>
    </dxf>
    <dxf>
      <font>
        <color rgb="FFC00000"/>
      </font>
      <fill>
        <patternFill patternType="solid">
          <fgColor indexed="64"/>
          <bgColor rgb="FF92D050"/>
        </patternFill>
      </fill>
      <alignment horizontal="general" vertical="bottom" textRotation="0" wrapText="0" indent="0" justifyLastLine="0" shrinkToFit="0" readingOrder="0"/>
    </dxf>
    <dxf>
      <font>
        <color rgb="FFC00000"/>
      </font>
      <fill>
        <patternFill patternType="solid">
          <fgColor indexed="64"/>
          <bgColor rgb="FF92D050"/>
        </patternFill>
      </fill>
    </dxf>
    <dxf>
      <alignment horizontal="left" relativeIndent="1"/>
    </dxf>
    <dxf>
      <alignment relativeIndent="1"/>
    </dxf>
    <dxf>
      <alignment horizontal="center"/>
    </dxf>
    <dxf>
      <alignment horizontal="center"/>
    </dxf>
    <dxf>
      <font>
        <b/>
      </font>
    </dxf>
    <dxf>
      <font>
        <b/>
      </font>
    </dxf>
    <dxf>
      <font>
        <b/>
      </font>
    </dxf>
    <dxf>
      <font>
        <b/>
      </font>
    </dxf>
    <dxf>
      <border>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rgb="FFC00000"/>
      </font>
    </dxf>
    <dxf>
      <fill>
        <patternFill patternType="solid">
          <bgColor rgb="FF92D050"/>
        </patternFill>
      </fill>
    </dxf>
    <dxf>
      <fill>
        <patternFill patternType="solid">
          <bgColor rgb="FF92D050"/>
        </patternFill>
      </fill>
    </dxf>
    <dxf>
      <border>
        <left style="thin">
          <color indexed="64"/>
        </left>
      </bord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ont>
        <color auto="1"/>
      </font>
    </dxf>
    <dxf>
      <font>
        <color auto="1"/>
      </font>
    </dxf>
    <dxf>
      <font>
        <b/>
        <color rgb="FFC00000"/>
      </font>
      <fill>
        <patternFill patternType="solid">
          <fgColor indexed="64"/>
          <bgColor rgb="FF92D050"/>
        </patternFill>
      </fill>
      <alignment horizontal="general" vertical="bottom" textRotation="0" wrapText="0" indent="0" justifyLastLine="0" shrinkToFit="0" readingOrder="0"/>
    </dxf>
    <dxf>
      <font>
        <b/>
        <color rgb="FFC00000"/>
      </font>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C00000"/>
      </font>
    </dxf>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left style="thin">
          <color indexed="64"/>
        </left>
      </bord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right style="thin">
          <color indexed="64"/>
        </right>
      </border>
    </dxf>
    <dxf>
      <fill>
        <patternFill patternType="solid">
          <bgColor rgb="FF92D050"/>
        </patternFill>
      </fill>
    </dxf>
    <dxf>
      <fill>
        <patternFill>
          <bgColor rgb="FF92D050"/>
        </patternFill>
      </fill>
    </dxf>
    <dxf>
      <fill>
        <patternFill>
          <bgColor rgb="FF92D050"/>
        </patternFill>
      </fill>
    </dxf>
    <dxf>
      <fill>
        <patternFill>
          <bgColor rgb="FF92D050"/>
        </patternFill>
      </fill>
    </dxf>
    <dxf>
      <font>
        <color rgb="FFC00000"/>
      </font>
    </dxf>
    <dxf>
      <font>
        <color rgb="FFC00000"/>
      </font>
    </dxf>
    <dxf>
      <font>
        <color rgb="FFC00000"/>
      </font>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92D050"/>
        </patternFill>
      </fill>
    </dxf>
    <dxf>
      <fill>
        <patternFill patternType="solid">
          <bgColor rgb="FF92D050"/>
        </patternFill>
      </fill>
    </dxf>
    <dxf>
      <fill>
        <patternFill>
          <bgColor theme="4" tint="0.79998168889431442"/>
        </patternFill>
      </fill>
    </dxf>
    <dxf>
      <font>
        <color rgb="FF7030A0"/>
      </font>
      <fill>
        <patternFill patternType="solid">
          <fgColor indexed="64"/>
          <bgColor rgb="FF92D050"/>
        </patternFill>
      </fill>
    </dxf>
    <dxf>
      <font>
        <color rgb="FF7030A0"/>
      </font>
      <fill>
        <patternFill patternType="solid">
          <fgColor indexed="64"/>
          <bgColor rgb="FF92D050"/>
        </patternFill>
      </fill>
    </dxf>
    <dxf>
      <font>
        <color rgb="FFC00000"/>
      </font>
    </dxf>
    <dxf>
      <border>
        <left style="thin">
          <color indexed="64"/>
        </left>
      </border>
    </dxf>
    <dxf>
      <alignment horizontal="center"/>
    </dxf>
    <dxf>
      <border>
        <right style="thin">
          <color indexed="64"/>
        </right>
      </border>
    </dxf>
    <dxf>
      <font>
        <color auto="1"/>
      </font>
    </dxf>
    <dxf>
      <font>
        <color auto="1"/>
      </font>
    </dxf>
    <dxf>
      <font>
        <b/>
      </font>
    </dxf>
    <dxf>
      <font>
        <b/>
      </font>
    </dxf>
    <dxf>
      <font>
        <b/>
      </font>
    </dxf>
    <dxf>
      <font>
        <b/>
      </font>
    </dxf>
    <dxf>
      <font>
        <b/>
      </font>
    </dxf>
    <dxf>
      <font>
        <color rgb="FFC00000"/>
      </font>
    </dxf>
    <dxf>
      <fill>
        <patternFill>
          <bgColor rgb="FF92D050"/>
        </patternFill>
      </fill>
    </dxf>
    <dxf>
      <fill>
        <patternFill>
          <bgColor rgb="FF92D050"/>
        </patternFill>
      </fill>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indent="1"/>
    </dxf>
    <dxf>
      <fill>
        <patternFill>
          <bgColor rgb="FF92D050"/>
        </patternFill>
      </fill>
    </dxf>
    <dxf>
      <fill>
        <patternFill>
          <bgColor rgb="FF92D050"/>
        </patternFill>
      </fill>
    </dxf>
    <dxf>
      <fill>
        <patternFill>
          <bgColor rgb="FF92D050"/>
        </patternFill>
      </fill>
    </dxf>
    <dxf>
      <font>
        <color rgb="FFC00000"/>
      </font>
    </dxf>
    <dxf>
      <font>
        <color rgb="FFC00000"/>
      </font>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dxf>
    <dxf>
      <fill>
        <patternFill patternType="solid">
          <bgColor rgb="FF92D050"/>
        </patternFill>
      </fill>
    </dxf>
    <dxf>
      <font>
        <color rgb="FF7030A0"/>
      </font>
    </dxf>
    <dxf>
      <font>
        <color rgb="FF7030A0"/>
      </font>
    </dxf>
    <dxf>
      <fill>
        <patternFill patternType="solid">
          <bgColor rgb="FF92D050"/>
        </patternFill>
      </fill>
    </dxf>
    <dxf>
      <fill>
        <patternFill patternType="solid">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theme="0"/>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theme="0"/>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theme="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14009]dd\-mm\-yyyy;@"/>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numFmt numFmtId="164" formatCode="[$-14009]dd\-mm\-yyyy;@"/>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64"/>
          <bgColor rgb="FF92D050"/>
        </patternFill>
      </fill>
      <alignment horizontal="center" vertical="bottom" textRotation="0" wrapText="0" indent="0" justifyLastLine="0" shrinkToFit="0" readingOrder="0"/>
    </dxf>
    <dxf>
      <font>
        <color rgb="FF006100"/>
      </font>
      <fill>
        <patternFill>
          <bgColor rgb="FFC6EFCE"/>
        </patternFill>
      </fill>
    </dxf>
    <dxf>
      <font>
        <color rgb="FF006100"/>
      </font>
      <fill>
        <patternFill>
          <bgColor rgb="FFC6EFCE"/>
        </patternFill>
      </fill>
    </dxf>
    <dxf>
      <numFmt numFmtId="0" formatCode="General"/>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bottom" textRotation="0" wrapText="0" indent="2"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left" vertical="bottom"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style="thin">
          <color indexed="64"/>
        </bottom>
      </border>
    </dxf>
    <dxf>
      <fill>
        <patternFill patternType="solid">
          <fgColor indexed="64"/>
          <bgColor theme="0"/>
        </patternFill>
      </fill>
      <alignment horizontal="general" vertical="bottom" textRotation="0" wrapText="0" indent="0" justifyLastLine="0" shrinkToFit="0" readingOrder="0"/>
      <border diagonalUp="0" diagonalDown="0" outline="0">
        <left/>
        <right/>
        <top style="thin">
          <color indexed="64"/>
        </top>
        <bottom/>
      </border>
    </dxf>
    <dxf>
      <fill>
        <patternFill patternType="solid">
          <fgColor indexed="64"/>
          <bgColor theme="0"/>
        </patternFill>
      </fill>
      <alignment horizontal="general" vertical="bottom" textRotation="0" wrapText="0" indent="0" justifyLastLine="0" shrinkToFit="0" readingOrder="0"/>
      <border diagonalUp="0" diagonalDown="0" outline="0">
        <left/>
        <right/>
        <top style="thin">
          <color indexed="64"/>
        </top>
        <bottom style="thin">
          <color indexed="64"/>
        </bottom>
      </border>
    </dxf>
    <dxf>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lef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14009]dd\-mm\-yyyy;@"/>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border>
    </dxf>
    <dxf>
      <numFmt numFmtId="164" formatCode="[$-14009]dd\-mm\-yyyy;@"/>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0"/>
        </patternFill>
      </fill>
      <alignment horizontal="left" vertical="bottom" textRotation="0" wrapText="0" indent="1" justifyLastLine="0" shrinkToFit="0" readingOrder="0"/>
    </dxf>
    <dxf>
      <border>
        <bottom style="medium">
          <color indexed="64"/>
        </bottom>
      </border>
    </dxf>
    <dxf>
      <font>
        <b/>
        <strike val="0"/>
        <outline val="0"/>
        <shadow val="0"/>
        <u val="none"/>
        <vertAlign val="baseline"/>
        <sz val="11"/>
        <color auto="1"/>
        <name val="Calibri"/>
        <family val="2"/>
        <scheme val="minor"/>
      </font>
      <fill>
        <patternFill patternType="solid">
          <fgColor indexed="64"/>
          <bgColor rgb="FF92D050"/>
        </patternFill>
      </fill>
      <alignment horizontal="left" vertical="bottom" textRotation="0" wrapText="0" indent="1"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b/>
        <i val="0"/>
        <sz val="12"/>
        <color rgb="FFC00000"/>
        <name val="Cambria"/>
        <family val="1"/>
        <scheme val="major"/>
      </font>
      <fill>
        <patternFill>
          <bgColor rgb="FF92D050"/>
        </patternFill>
      </fill>
    </dxf>
    <dxf>
      <font>
        <sz val="14"/>
        <name val="Cambria"/>
        <family val="1"/>
        <scheme val="none"/>
      </font>
      <fill>
        <patternFill patternType="solid">
          <fgColor theme="0"/>
          <bgColor theme="0" tint="-4.9989318521683403E-2"/>
        </patternFill>
      </fill>
      <border diagonalUp="0" diagonalDown="0">
        <left/>
        <right/>
        <top/>
        <bottom/>
        <vertical/>
        <horizontal/>
      </border>
    </dxf>
    <dxf>
      <font>
        <sz val="14"/>
        <name val="Cambria"/>
        <family val="1"/>
        <scheme val="major"/>
      </font>
      <fill>
        <patternFill>
          <bgColor rgb="FF92D050"/>
        </patternFill>
      </fill>
    </dxf>
    <dxf>
      <font>
        <b val="0"/>
        <i val="0"/>
        <sz val="9"/>
        <name val="Calibri"/>
        <family val="2"/>
        <scheme val="minor"/>
      </font>
      <fill>
        <patternFill>
          <bgColor theme="0" tint="-0.14996795556505021"/>
        </patternFill>
      </fill>
      <border>
        <left style="thin">
          <color auto="1"/>
        </left>
        <right style="thin">
          <color auto="1"/>
        </right>
        <top style="thin">
          <color auto="1"/>
        </top>
        <bottom style="thin">
          <color auto="1"/>
        </bottom>
      </border>
    </dxf>
    <dxf>
      <font>
        <b/>
        <i val="0"/>
        <strike val="0"/>
        <sz val="11"/>
        <color rgb="FFC00000"/>
        <name val="Segoe UI"/>
        <family val="2"/>
        <scheme val="none"/>
      </font>
      <fill>
        <patternFill>
          <bgColor rgb="FF92D050"/>
        </patternFill>
      </fill>
    </dxf>
    <dxf>
      <font>
        <b val="0"/>
        <i val="0"/>
        <sz val="9"/>
        <name val="Calibri"/>
        <family val="2"/>
        <scheme val="minor"/>
      </font>
      <fill>
        <patternFill>
          <bgColor theme="0"/>
        </patternFill>
      </fill>
      <border>
        <vertical/>
        <horizontal/>
      </border>
    </dxf>
  </dxfs>
  <tableStyles count="3" defaultTableStyle="TableStyleMedium9" defaultPivotStyle="PivotStyleLight16">
    <tableStyle name="Slicer Style 1" pivot="0" table="0" count="5" xr9:uid="{59B86607-4230-4AF9-A0D3-D50EFA2FB9CC}">
      <tableStyleElement type="wholeTable" dxfId="235"/>
      <tableStyleElement type="headerRow" dxfId="234"/>
    </tableStyle>
    <tableStyle name="Slicer Style 1 2" pivot="0" table="0" count="5" xr9:uid="{EAEB1E20-5A1F-4EE8-8855-DE64DC9DF3F4}">
      <tableStyleElement type="wholeTable" dxfId="233"/>
      <tableStyleElement type="headerRow" dxfId="232"/>
    </tableStyle>
    <tableStyle name="Timeline Style 1" pivot="0" table="0" count="8" xr9:uid="{07893C0D-3A97-4170-B383-54D9E527F630}">
      <tableStyleElement type="wholeTable" dxfId="231"/>
      <tableStyleElement type="headerRow" dxfId="230"/>
    </tableStyle>
  </tableStyles>
  <colors>
    <mruColors>
      <color rgb="FF5C0DB3"/>
    </mruColors>
  </colors>
  <extLst>
    <ext xmlns:x14="http://schemas.microsoft.com/office/spreadsheetml/2009/9/main" uri="{46F421CA-312F-682f-3DD2-61675219B42D}">
      <x14:dxfs count="6">
        <dxf>
          <fill>
            <patternFill>
              <bgColor theme="9" tint="0.39994506668294322"/>
            </patternFill>
          </fill>
        </dxf>
        <dxf>
          <font>
            <sz val="18"/>
            <name val="Cambria"/>
            <family val="1"/>
            <scheme val="none"/>
          </font>
          <fill>
            <patternFill>
              <bgColor rgb="FF00B0F0"/>
            </patternFill>
          </fill>
          <border diagonalUp="0" diagonalDown="0">
            <left/>
            <right/>
            <top/>
            <bottom/>
            <vertical/>
            <horizontal/>
          </border>
        </dxf>
        <dxf>
          <fill>
            <patternFill>
              <bgColor theme="9" tint="0.59996337778862885"/>
            </patternFill>
          </fill>
        </dxf>
        <dxf>
          <fill>
            <patternFill>
              <bgColor theme="9" tint="0.39994506668294322"/>
            </patternFill>
          </fill>
        </dxf>
        <dxf>
          <font>
            <strike val="0"/>
            <sz val="20"/>
            <name val="Cambria"/>
            <family val="1"/>
            <scheme val="none"/>
          </font>
          <fill>
            <patternFill>
              <fgColor theme="7" tint="0.39994506668294322"/>
              <bgColor theme="7" tint="0.39991454817346722"/>
            </patternFill>
          </fill>
          <border diagonalUp="0" diagonalDown="0">
            <left/>
            <right/>
            <top/>
            <bottom/>
            <vertical/>
            <horizontal/>
          </border>
        </dxf>
        <dxf>
          <fill>
            <patternFill>
              <bgColor theme="9" tint="0.59996337778862885"/>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1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24994659260841701"/>
            </patternFill>
          </fill>
        </dxf>
        <dxf>
          <fill>
            <patternFill patternType="solid">
              <fgColor theme="0"/>
              <bgColor theme="3" tint="0.39994506668294322"/>
            </patternFill>
          </fill>
        </dxf>
        <dxf>
          <font>
            <b/>
            <i val="0"/>
            <sz val="12"/>
            <color theme="1"/>
            <name val="Calibri"/>
            <family val="2"/>
            <scheme val="minor"/>
          </font>
        </dxf>
        <dxf>
          <font>
            <b/>
            <i val="0"/>
            <sz val="12"/>
            <color theme="1"/>
            <name val="Arial"/>
            <family val="2"/>
            <scheme val="none"/>
          </font>
        </dxf>
        <dxf>
          <font>
            <sz val="9"/>
            <color theme="3" tint="0.39994506668294322"/>
            <name val="Calibri"/>
            <family val="2"/>
            <scheme val="minor"/>
          </font>
        </dxf>
        <dxf>
          <font>
            <b/>
            <i val="0"/>
            <sz val="12"/>
            <color theme="1"/>
            <name val="Cambria"/>
            <family val="1"/>
            <scheme val="maj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 End_MIS_Sales_dashboard.xlsx]Pivot_Table_Analysis!PivotTable2</c:name>
    <c:fmtId val="3"/>
  </c:pivotSource>
  <c:chart>
    <c:title>
      <c:tx>
        <c:rich>
          <a:bodyPr rot="0" spcFirstLastPara="1" vertOverflow="ellipsis" vert="horz" wrap="square" anchor="ctr" anchorCtr="1"/>
          <a:lstStyle/>
          <a:p>
            <a:pPr algn="ctr" rtl="0">
              <a:defRPr lang="en-US" sz="2400" b="1" i="1" u="none" strike="noStrike" kern="1200" spc="0" baseline="0">
                <a:solidFill>
                  <a:srgbClr val="FF0000"/>
                </a:solidFill>
                <a:latin typeface="Segoe UI" panose="020B0502040204020203" pitchFamily="34" charset="0"/>
                <a:ea typeface="+mn-ea"/>
                <a:cs typeface="Segoe UI" panose="020B0502040204020203" pitchFamily="34" charset="0"/>
              </a:defRPr>
            </a:pPr>
            <a:r>
              <a:rPr lang="en-US" sz="2400" b="1" i="1" u="none" strike="noStrike" kern="1200" spc="0" baseline="0">
                <a:solidFill>
                  <a:srgbClr val="0070C0"/>
                </a:solidFill>
                <a:latin typeface="Aptos"/>
                <a:ea typeface="+mn-ea"/>
                <a:cs typeface="Segoe UI" panose="020B0502040204020203" pitchFamily="34" charset="0"/>
              </a:rPr>
              <a:t>Sales By Product</a:t>
            </a:r>
          </a:p>
        </c:rich>
      </c:tx>
      <c:layout>
        <c:manualLayout>
          <c:xMode val="edge"/>
          <c:yMode val="edge"/>
          <c:x val="0.29507239642305222"/>
          <c:y val="2.1646164249560815E-2"/>
        </c:manualLayout>
      </c:layout>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rgbClr val="FF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pivotFmt>
      <c:pivotFmt>
        <c:idx val="3"/>
      </c:pivotFmt>
      <c:pivotFmt>
        <c:idx val="4"/>
      </c:pivotFmt>
      <c:pivotFmt>
        <c:idx val="5"/>
        <c:spPr>
          <a:solidFill>
            <a:srgbClr val="7030A0"/>
          </a:solidFill>
          <a:ln>
            <a:solidFill>
              <a:srgbClr val="7030A0"/>
            </a:solidFill>
          </a:ln>
          <a:effectLst/>
          <a:sp3d>
            <a:contourClr>
              <a:srgbClr val="7030A0"/>
            </a:contourClr>
          </a:sp3d>
        </c:spPr>
        <c:marker>
          <c:symbol val="none"/>
        </c:marker>
        <c:dLbl>
          <c:idx val="0"/>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pivotFmt>
      <c:pivotFmt>
        <c:idx val="7"/>
        <c:spPr>
          <a:solidFill>
            <a:srgbClr val="7030A0"/>
          </a:solidFill>
          <a:ln>
            <a:solidFill>
              <a:srgbClr val="7030A0"/>
            </a:solidFill>
          </a:ln>
          <a:effectLst/>
          <a:sp3d>
            <a:contourClr>
              <a:srgbClr val="7030A0"/>
            </a:contourClr>
          </a:sp3d>
        </c:spPr>
        <c:dLbl>
          <c:idx val="0"/>
          <c:layout>
            <c:manualLayout>
              <c:x val="2.898550063094816E-3"/>
              <c:y val="-3.745317247539813E-3"/>
            </c:manualLayout>
          </c:layout>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7030A0"/>
          </a:solidFill>
          <a:ln>
            <a:solidFill>
              <a:srgbClr val="7030A0"/>
            </a:solidFill>
          </a:ln>
          <a:effectLst/>
          <a:sp3d>
            <a:contourClr>
              <a:srgbClr val="7030A0"/>
            </a:contourClr>
          </a:sp3d>
        </c:spPr>
        <c:dLbl>
          <c:idx val="0"/>
          <c:layout>
            <c:manualLayout>
              <c:x val="5.797100126189632E-3"/>
              <c:y val="-7.4906344950796261E-3"/>
            </c:manualLayout>
          </c:layout>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7030A0"/>
          </a:solidFill>
          <a:ln>
            <a:solidFill>
              <a:srgbClr val="7030A0"/>
            </a:solidFill>
          </a:ln>
          <a:effectLst/>
          <a:sp3d>
            <a:contourClr>
              <a:srgbClr val="7030A0"/>
            </a:contourClr>
          </a:sp3d>
        </c:spPr>
        <c:dLbl>
          <c:idx val="0"/>
          <c:layout>
            <c:manualLayout>
              <c:x val="1.1594200252379212E-2"/>
              <c:y val="-7.4906344950796261E-3"/>
            </c:manualLayout>
          </c:layout>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8.876710555065509E-2"/>
          <c:y val="0.17379311683252863"/>
          <c:w val="0.81101955699656336"/>
          <c:h val="0.71051660491029034"/>
        </c:manualLayout>
      </c:layout>
      <c:barChart>
        <c:barDir val="col"/>
        <c:grouping val="clustered"/>
        <c:varyColors val="0"/>
        <c:ser>
          <c:idx val="0"/>
          <c:order val="0"/>
          <c:tx>
            <c:strRef>
              <c:f>Pivot_Table_Analysis!$C$7</c:f>
              <c:strCache>
                <c:ptCount val="1"/>
                <c:pt idx="0">
                  <c:v>Total</c:v>
                </c:pt>
              </c:strCache>
            </c:strRef>
          </c:tx>
          <c:spPr>
            <a:solidFill>
              <a:srgbClr val="7030A0"/>
            </a:solidFill>
            <a:ln>
              <a:solidFill>
                <a:srgbClr val="7030A0"/>
              </a:solidFill>
            </a:ln>
            <a:effectLst/>
            <a:sp3d>
              <a:contourClr>
                <a:srgbClr val="7030A0"/>
              </a:contourClr>
            </a:sp3d>
          </c:spPr>
          <c:invertIfNegative val="0"/>
          <c:dPt>
            <c:idx val="0"/>
            <c:invertIfNegative val="0"/>
            <c:bubble3D val="0"/>
            <c:spPr>
              <a:solidFill>
                <a:srgbClr val="7030A0"/>
              </a:solidFill>
              <a:ln>
                <a:solidFill>
                  <a:srgbClr val="7030A0"/>
                </a:solidFill>
              </a:ln>
              <a:effectLst/>
              <a:sp3d>
                <a:contourClr>
                  <a:srgbClr val="7030A0"/>
                </a:contourClr>
              </a:sp3d>
            </c:spPr>
            <c:extLst>
              <c:ext xmlns:c16="http://schemas.microsoft.com/office/drawing/2014/chart" uri="{C3380CC4-5D6E-409C-BE32-E72D297353CC}">
                <c16:uniqueId val="{00000002-F230-443C-BF64-00CB34B45251}"/>
              </c:ext>
            </c:extLst>
          </c:dPt>
          <c:dPt>
            <c:idx val="1"/>
            <c:invertIfNegative val="0"/>
            <c:bubble3D val="0"/>
            <c:spPr>
              <a:solidFill>
                <a:srgbClr val="7030A0"/>
              </a:solidFill>
              <a:ln>
                <a:solidFill>
                  <a:srgbClr val="7030A0"/>
                </a:solidFill>
              </a:ln>
              <a:effectLst/>
              <a:sp3d>
                <a:contourClr>
                  <a:srgbClr val="7030A0"/>
                </a:contourClr>
              </a:sp3d>
            </c:spPr>
            <c:extLst>
              <c:ext xmlns:c16="http://schemas.microsoft.com/office/drawing/2014/chart" uri="{C3380CC4-5D6E-409C-BE32-E72D297353CC}">
                <c16:uniqueId val="{00000001-F230-443C-BF64-00CB34B45251}"/>
              </c:ext>
            </c:extLst>
          </c:dPt>
          <c:dPt>
            <c:idx val="2"/>
            <c:invertIfNegative val="0"/>
            <c:bubble3D val="0"/>
            <c:spPr>
              <a:solidFill>
                <a:srgbClr val="7030A0"/>
              </a:solidFill>
              <a:ln>
                <a:solidFill>
                  <a:srgbClr val="7030A0"/>
                </a:solidFill>
              </a:ln>
              <a:effectLst/>
              <a:sp3d>
                <a:contourClr>
                  <a:srgbClr val="7030A0"/>
                </a:contourClr>
              </a:sp3d>
            </c:spPr>
            <c:extLst>
              <c:ext xmlns:c16="http://schemas.microsoft.com/office/drawing/2014/chart" uri="{C3380CC4-5D6E-409C-BE32-E72D297353CC}">
                <c16:uniqueId val="{00000000-F230-443C-BF64-00CB34B45251}"/>
              </c:ext>
            </c:extLst>
          </c:dPt>
          <c:dLbls>
            <c:dLbl>
              <c:idx val="0"/>
              <c:layout>
                <c:manualLayout>
                  <c:x val="1.1594200252379212E-2"/>
                  <c:y val="-7.49063449507962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30-443C-BF64-00CB34B45251}"/>
                </c:ext>
              </c:extLst>
            </c:dLbl>
            <c:dLbl>
              <c:idx val="1"/>
              <c:layout>
                <c:manualLayout>
                  <c:x val="5.797100126189632E-3"/>
                  <c:y val="-7.49063449507962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30-443C-BF64-00CB34B45251}"/>
                </c:ext>
              </c:extLst>
            </c:dLbl>
            <c:dLbl>
              <c:idx val="2"/>
              <c:layout>
                <c:manualLayout>
                  <c:x val="2.898550063094816E-3"/>
                  <c:y val="-3.745317247539813E-3"/>
                </c:manualLayout>
              </c:layout>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0-F230-443C-BF64-00CB34B45251}"/>
                </c:ext>
              </c:extLst>
            </c:dLbl>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Pivot_Table_Analysis!$B$8:$B$11</c:f>
              <c:strCache>
                <c:ptCount val="3"/>
                <c:pt idx="0">
                  <c:v>Laptop</c:v>
                </c:pt>
                <c:pt idx="1">
                  <c:v>Mobile</c:v>
                </c:pt>
                <c:pt idx="2">
                  <c:v>Tablet</c:v>
                </c:pt>
              </c:strCache>
            </c:strRef>
          </c:cat>
          <c:val>
            <c:numRef>
              <c:f>Pivot_Table_Analysis!$C$8:$C$11</c:f>
              <c:numCache>
                <c:formatCode>General</c:formatCode>
                <c:ptCount val="3"/>
                <c:pt idx="0">
                  <c:v>5511000</c:v>
                </c:pt>
                <c:pt idx="1">
                  <c:v>4641000</c:v>
                </c:pt>
                <c:pt idx="2">
                  <c:v>2025000</c:v>
                </c:pt>
              </c:numCache>
            </c:numRef>
          </c:val>
          <c:extLst>
            <c:ext xmlns:c16="http://schemas.microsoft.com/office/drawing/2014/chart" uri="{C3380CC4-5D6E-409C-BE32-E72D297353CC}">
              <c16:uniqueId val="{00000000-360E-4E00-8752-BF25C593C783}"/>
            </c:ext>
          </c:extLst>
        </c:ser>
        <c:dLbls>
          <c:showLegendKey val="0"/>
          <c:showVal val="0"/>
          <c:showCatName val="0"/>
          <c:showSerName val="0"/>
          <c:showPercent val="0"/>
          <c:showBubbleSize val="0"/>
        </c:dLbls>
        <c:gapWidth val="150"/>
        <c:axId val="417546864"/>
        <c:axId val="417545880"/>
      </c:barChart>
      <c:catAx>
        <c:axId val="41754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7545880"/>
        <c:crosses val="autoZero"/>
        <c:auto val="1"/>
        <c:lblAlgn val="ctr"/>
        <c:lblOffset val="100"/>
        <c:noMultiLvlLbl val="0"/>
      </c:catAx>
      <c:valAx>
        <c:axId val="417545880"/>
        <c:scaling>
          <c:orientation val="minMax"/>
        </c:scaling>
        <c:delete val="1"/>
        <c:axPos val="l"/>
        <c:majorGridlines>
          <c:spPr>
            <a:ln w="9525" cap="rnd" cmpd="sng" algn="ctr">
              <a:solidFill>
                <a:schemeClr val="bg1">
                  <a:lumMod val="95000"/>
                </a:schemeClr>
              </a:solidFill>
              <a:round/>
            </a:ln>
            <a:effectLst/>
          </c:spPr>
        </c:majorGridlines>
        <c:numFmt formatCode="General" sourceLinked="1"/>
        <c:majorTickMark val="none"/>
        <c:minorTickMark val="none"/>
        <c:tickLblPos val="nextTo"/>
        <c:crossAx val="417546864"/>
        <c:crosses val="autoZero"/>
        <c:crossBetween val="between"/>
      </c:valAx>
      <c:spPr>
        <a:solidFill>
          <a:schemeClr val="bg1">
            <a:lumMod val="95000"/>
          </a:schemeClr>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 End_MIS_Sales_dashboard.xlsx]Pivot_Table_Analysis!PivotTable6</c:name>
    <c:fmtId val="3"/>
  </c:pivotSource>
  <c:chart>
    <c:title>
      <c:tx>
        <c:rich>
          <a:bodyPr rot="0" spcFirstLastPara="1" vertOverflow="ellipsis" vert="horz" wrap="square" anchor="ctr" anchorCtr="1"/>
          <a:lstStyle/>
          <a:p>
            <a:pPr algn="ctr" rtl="0">
              <a:defRPr lang="en-US" sz="2400" b="1" i="1" u="none" strike="noStrike" kern="1200" spc="0" baseline="0">
                <a:solidFill>
                  <a:srgbClr val="0070C0"/>
                </a:solidFill>
                <a:latin typeface="Aptos"/>
                <a:ea typeface="+mn-ea"/>
                <a:cs typeface="Segoe UI" panose="020B0502040204020203" pitchFamily="34" charset="0"/>
              </a:defRPr>
            </a:pPr>
            <a:r>
              <a:rPr lang="en-US" sz="2400" b="1" i="1" u="none" strike="noStrike" kern="1200" spc="0" baseline="0">
                <a:solidFill>
                  <a:srgbClr val="0070C0"/>
                </a:solidFill>
                <a:latin typeface="Aptos"/>
                <a:ea typeface="+mn-ea"/>
                <a:cs typeface="Segoe UI" panose="020B0502040204020203" pitchFamily="34" charset="0"/>
              </a:rPr>
              <a:t>Sales By Region</a:t>
            </a:r>
          </a:p>
        </c:rich>
      </c:tx>
      <c:layout>
        <c:manualLayout>
          <c:xMode val="edge"/>
          <c:yMode val="edge"/>
          <c:x val="0.27843489111994596"/>
          <c:y val="2.1465283413389488E-2"/>
        </c:manualLayout>
      </c:layout>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rgbClr val="0070C0"/>
              </a:solidFill>
              <a:latin typeface="Aptos"/>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7030A0"/>
          </a:solidFill>
          <a:ln>
            <a:solidFill>
              <a:srgbClr val="7030A0"/>
            </a:solidFill>
          </a:ln>
          <a:effectLst>
            <a:outerShdw blurRad="63500" sx="1000" sy="1000" algn="ctr" rotWithShape="0">
              <a:prstClr val="black">
                <a:alpha val="0"/>
              </a:prstClr>
            </a:outerShdw>
          </a:effectLst>
        </c:spPr>
        <c:marker>
          <c:symbol val="none"/>
        </c:marker>
        <c:dLbl>
          <c:idx val="0"/>
          <c:numFmt formatCode="\₹\ 0.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7030A0"/>
          </a:solidFill>
          <a:ln>
            <a:solidFill>
              <a:srgbClr val="7030A0"/>
            </a:solidFill>
          </a:ln>
          <a:effectLst>
            <a:outerShdw blurRad="63500" sx="1000" sy="1000" algn="ctr" rotWithShape="0">
              <a:prstClr val="black">
                <a:alpha val="0"/>
              </a:prstClr>
            </a:outerShdw>
          </a:effectLst>
        </c:spPr>
      </c:pivotFmt>
      <c:pivotFmt>
        <c:idx val="7"/>
        <c:spPr>
          <a:solidFill>
            <a:schemeClr val="accent1"/>
          </a:solidFill>
          <a:ln>
            <a:noFill/>
          </a:ln>
          <a:effectLst/>
        </c:spPr>
        <c:marker>
          <c:symbol val="none"/>
        </c:marker>
      </c:pivotFmt>
    </c:pivotFmts>
    <c:plotArea>
      <c:layout>
        <c:manualLayout>
          <c:layoutTarget val="inner"/>
          <c:xMode val="edge"/>
          <c:yMode val="edge"/>
          <c:x val="0.12599724583981209"/>
          <c:y val="0.14774209298978616"/>
          <c:w val="0.79882658715717736"/>
          <c:h val="0.80323938616308055"/>
        </c:manualLayout>
      </c:layout>
      <c:barChart>
        <c:barDir val="bar"/>
        <c:grouping val="clustered"/>
        <c:varyColors val="0"/>
        <c:ser>
          <c:idx val="0"/>
          <c:order val="0"/>
          <c:tx>
            <c:strRef>
              <c:f>Pivot_Table_Analysis!$H$7</c:f>
              <c:strCache>
                <c:ptCount val="1"/>
                <c:pt idx="0">
                  <c:v>Sum of Quantity</c:v>
                </c:pt>
              </c:strCache>
            </c:strRef>
          </c:tx>
          <c:spPr>
            <a:solidFill>
              <a:schemeClr val="accent1"/>
            </a:solidFill>
            <a:ln>
              <a:noFill/>
            </a:ln>
            <a:effectLst/>
          </c:spPr>
          <c:invertIfNegative val="0"/>
          <c:cat>
            <c:strRef>
              <c:f>Pivot_Table_Analysis!$G$8:$G$12</c:f>
              <c:strCache>
                <c:ptCount val="4"/>
                <c:pt idx="0">
                  <c:v>West</c:v>
                </c:pt>
                <c:pt idx="1">
                  <c:v>East</c:v>
                </c:pt>
                <c:pt idx="2">
                  <c:v>South</c:v>
                </c:pt>
                <c:pt idx="3">
                  <c:v>North</c:v>
                </c:pt>
              </c:strCache>
            </c:strRef>
          </c:cat>
          <c:val>
            <c:numRef>
              <c:f>Pivot_Table_Analysis!$H$8:$H$12</c:f>
              <c:numCache>
                <c:formatCode>General</c:formatCode>
                <c:ptCount val="4"/>
                <c:pt idx="0">
                  <c:v>220</c:v>
                </c:pt>
                <c:pt idx="1">
                  <c:v>133</c:v>
                </c:pt>
                <c:pt idx="2">
                  <c:v>105</c:v>
                </c:pt>
                <c:pt idx="3">
                  <c:v>224</c:v>
                </c:pt>
              </c:numCache>
            </c:numRef>
          </c:val>
          <c:extLst>
            <c:ext xmlns:c16="http://schemas.microsoft.com/office/drawing/2014/chart" uri="{C3380CC4-5D6E-409C-BE32-E72D297353CC}">
              <c16:uniqueId val="{00000000-B96E-41F2-A0F1-7ECD579B84D9}"/>
            </c:ext>
          </c:extLst>
        </c:ser>
        <c:ser>
          <c:idx val="1"/>
          <c:order val="1"/>
          <c:tx>
            <c:strRef>
              <c:f>Pivot_Table_Analysis!$I$7</c:f>
              <c:strCache>
                <c:ptCount val="1"/>
                <c:pt idx="0">
                  <c:v>Sum of Sales</c:v>
                </c:pt>
              </c:strCache>
            </c:strRef>
          </c:tx>
          <c:spPr>
            <a:solidFill>
              <a:srgbClr val="7030A0"/>
            </a:solidFill>
            <a:ln>
              <a:solidFill>
                <a:srgbClr val="7030A0"/>
              </a:solidFill>
            </a:ln>
            <a:effectLst>
              <a:outerShdw blurRad="63500" sx="1000" sy="1000" algn="ctr" rotWithShape="0">
                <a:prstClr val="black">
                  <a:alpha val="0"/>
                </a:prstClr>
              </a:outerShdw>
            </a:effectLst>
          </c:spPr>
          <c:invertIfNegative val="0"/>
          <c:dLbls>
            <c:numFmt formatCode="\₹\ 0.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lgn="ct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Pivot_Table_Analysis!$G$8:$G$12</c:f>
              <c:strCache>
                <c:ptCount val="4"/>
                <c:pt idx="0">
                  <c:v>West</c:v>
                </c:pt>
                <c:pt idx="1">
                  <c:v>East</c:v>
                </c:pt>
                <c:pt idx="2">
                  <c:v>South</c:v>
                </c:pt>
                <c:pt idx="3">
                  <c:v>North</c:v>
                </c:pt>
              </c:strCache>
            </c:strRef>
          </c:cat>
          <c:val>
            <c:numRef>
              <c:f>Pivot_Table_Analysis!$I$8:$I$12</c:f>
              <c:numCache>
                <c:formatCode>General</c:formatCode>
                <c:ptCount val="4"/>
                <c:pt idx="0">
                  <c:v>4013000</c:v>
                </c:pt>
                <c:pt idx="1">
                  <c:v>2365000</c:v>
                </c:pt>
                <c:pt idx="2">
                  <c:v>1977000</c:v>
                </c:pt>
                <c:pt idx="3">
                  <c:v>3822000</c:v>
                </c:pt>
              </c:numCache>
            </c:numRef>
          </c:val>
          <c:extLst>
            <c:ext xmlns:c16="http://schemas.microsoft.com/office/drawing/2014/chart" uri="{C3380CC4-5D6E-409C-BE32-E72D297353CC}">
              <c16:uniqueId val="{00000001-B96E-41F2-A0F1-7ECD579B84D9}"/>
            </c:ext>
          </c:extLst>
        </c:ser>
        <c:ser>
          <c:idx val="2"/>
          <c:order val="2"/>
          <c:tx>
            <c:strRef>
              <c:f>Pivot_Table_Analysis!$J$7</c:f>
              <c:strCache>
                <c:ptCount val="1"/>
                <c:pt idx="0">
                  <c:v>Count of OrderID</c:v>
                </c:pt>
              </c:strCache>
            </c:strRef>
          </c:tx>
          <c:spPr>
            <a:solidFill>
              <a:schemeClr val="accent3"/>
            </a:solidFill>
            <a:ln>
              <a:noFill/>
            </a:ln>
            <a:effectLst/>
          </c:spPr>
          <c:invertIfNegative val="0"/>
          <c:cat>
            <c:strRef>
              <c:f>Pivot_Table_Analysis!$G$8:$G$12</c:f>
              <c:strCache>
                <c:ptCount val="4"/>
                <c:pt idx="0">
                  <c:v>West</c:v>
                </c:pt>
                <c:pt idx="1">
                  <c:v>East</c:v>
                </c:pt>
                <c:pt idx="2">
                  <c:v>South</c:v>
                </c:pt>
                <c:pt idx="3">
                  <c:v>North</c:v>
                </c:pt>
              </c:strCache>
            </c:strRef>
          </c:cat>
          <c:val>
            <c:numRef>
              <c:f>Pivot_Table_Analysis!$J$8:$J$12</c:f>
              <c:numCache>
                <c:formatCode>General</c:formatCode>
                <c:ptCount val="4"/>
                <c:pt idx="0">
                  <c:v>114</c:v>
                </c:pt>
                <c:pt idx="1">
                  <c:v>65</c:v>
                </c:pt>
                <c:pt idx="2">
                  <c:v>55</c:v>
                </c:pt>
                <c:pt idx="3">
                  <c:v>108</c:v>
                </c:pt>
              </c:numCache>
            </c:numRef>
          </c:val>
          <c:extLst>
            <c:ext xmlns:c16="http://schemas.microsoft.com/office/drawing/2014/chart" uri="{C3380CC4-5D6E-409C-BE32-E72D297353CC}">
              <c16:uniqueId val="{00000000-A6D4-4C1A-B4EC-414CC1C0E570}"/>
            </c:ext>
          </c:extLst>
        </c:ser>
        <c:dLbls>
          <c:showLegendKey val="0"/>
          <c:showVal val="0"/>
          <c:showCatName val="0"/>
          <c:showSerName val="0"/>
          <c:showPercent val="0"/>
          <c:showBubbleSize val="0"/>
        </c:dLbls>
        <c:gapWidth val="75"/>
        <c:axId val="412847304"/>
        <c:axId val="412847632"/>
      </c:barChart>
      <c:catAx>
        <c:axId val="412847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glow rad="50800">
              <a:schemeClr val="accent1">
                <a:alpha val="0"/>
              </a:schemeClr>
            </a:glow>
          </a:effectLst>
        </c:spPr>
        <c:txPr>
          <a:bodyPr rot="-60000000" spcFirstLastPara="1" vertOverflow="ellipsis" vert="horz" wrap="square" anchor="ctr" anchorCtr="1"/>
          <a:lstStyle/>
          <a:p>
            <a:pPr>
              <a:defRPr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2847632"/>
        <c:crosses val="autoZero"/>
        <c:auto val="1"/>
        <c:lblAlgn val="ctr"/>
        <c:lblOffset val="10"/>
        <c:tickLblSkip val="1"/>
        <c:noMultiLvlLbl val="0"/>
      </c:catAx>
      <c:valAx>
        <c:axId val="41284763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412847304"/>
        <c:crosses val="autoZero"/>
        <c:crossBetween val="between"/>
      </c:valAx>
      <c:spPr>
        <a:noFill/>
        <a:ln>
          <a:noFill/>
        </a:ln>
        <a:effectLst>
          <a:glow rad="952500">
            <a:schemeClr val="accent1">
              <a:alpha val="15000"/>
            </a:schemeClr>
          </a:glow>
          <a:outerShdw blurRad="50800" dist="50800" dir="6600000" sx="102000" sy="102000" algn="ctr" rotWithShape="0">
            <a:schemeClr val="bg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 End_MIS_Sales_dashboard.xlsx]Pivot_Table_Analysis!PivotTable7</c:name>
    <c:fmtId val="14"/>
  </c:pivotSource>
  <c:chart>
    <c:title>
      <c:tx>
        <c:rich>
          <a:bodyPr rot="0" spcFirstLastPara="1" vertOverflow="ellipsis" vert="horz" wrap="square" anchor="ctr" anchorCtr="1"/>
          <a:lstStyle/>
          <a:p>
            <a:pPr algn="ctr" rtl="0">
              <a:defRPr lang="en-US" sz="2400" b="1" i="1" u="none" strike="noStrike" kern="1200" spc="0" baseline="0">
                <a:solidFill>
                  <a:srgbClr val="0070C0"/>
                </a:solidFill>
                <a:latin typeface="Aptos"/>
                <a:ea typeface="+mn-ea"/>
                <a:cs typeface="Segoe UI" panose="020B0502040204020203" pitchFamily="34" charset="0"/>
              </a:defRPr>
            </a:pPr>
            <a:r>
              <a:rPr lang="en-US" sz="2400" b="1" i="1" u="none" strike="noStrike" kern="1200" spc="0" baseline="0">
                <a:solidFill>
                  <a:srgbClr val="0070C0"/>
                </a:solidFill>
                <a:latin typeface="Aptos"/>
                <a:ea typeface="+mn-ea"/>
                <a:cs typeface="Segoe UI" panose="020B0502040204020203" pitchFamily="34" charset="0"/>
              </a:rPr>
              <a:t>Sales By City</a:t>
            </a:r>
          </a:p>
        </c:rich>
      </c:tx>
      <c:layout>
        <c:manualLayout>
          <c:xMode val="edge"/>
          <c:yMode val="edge"/>
          <c:x val="0.32743863587207506"/>
          <c:y val="2.1108173572345078E-2"/>
        </c:manualLayout>
      </c:layout>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rgbClr val="0070C0"/>
              </a:solidFill>
              <a:latin typeface="Aptos"/>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7030A0"/>
          </a:solidFill>
          <a:ln>
            <a:noFill/>
          </a:ln>
          <a:effectLst/>
        </c:spPr>
        <c:marker>
          <c:symbol val="none"/>
        </c:marker>
        <c:dLbl>
          <c:idx val="0"/>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0">
              <a:spAutoFit/>
            </a:bodyPr>
            <a:lstStyle/>
            <a:p>
              <a:pPr algn="ct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19227531721518837"/>
          <c:y val="0.26281239845019372"/>
          <c:w val="0.76651666871262469"/>
          <c:h val="0.73650474919675779"/>
        </c:manualLayout>
      </c:layout>
      <c:barChart>
        <c:barDir val="bar"/>
        <c:grouping val="clustered"/>
        <c:varyColors val="0"/>
        <c:ser>
          <c:idx val="0"/>
          <c:order val="0"/>
          <c:tx>
            <c:strRef>
              <c:f>Pivot_Table_Analysis!$C$15</c:f>
              <c:strCache>
                <c:ptCount val="1"/>
                <c:pt idx="0">
                  <c:v>Sum of Quantity</c:v>
                </c:pt>
              </c:strCache>
            </c:strRef>
          </c:tx>
          <c:spPr>
            <a:solidFill>
              <a:schemeClr val="accent1"/>
            </a:solidFill>
            <a:ln>
              <a:noFill/>
            </a:ln>
            <a:effectLst/>
          </c:spPr>
          <c:invertIfNegative val="0"/>
          <c:cat>
            <c:strRef>
              <c:f>Pivot_Table_Analysis!$B$16:$B$21</c:f>
              <c:strCache>
                <c:ptCount val="5"/>
                <c:pt idx="0">
                  <c:v>Bangalore</c:v>
                </c:pt>
                <c:pt idx="1">
                  <c:v>Chennai</c:v>
                </c:pt>
                <c:pt idx="2">
                  <c:v>Delhi</c:v>
                </c:pt>
                <c:pt idx="3">
                  <c:v>Kolkata</c:v>
                </c:pt>
                <c:pt idx="4">
                  <c:v>Mumbai</c:v>
                </c:pt>
              </c:strCache>
            </c:strRef>
          </c:cat>
          <c:val>
            <c:numRef>
              <c:f>Pivot_Table_Analysis!$C$16:$C$21</c:f>
              <c:numCache>
                <c:formatCode>General</c:formatCode>
                <c:ptCount val="5"/>
                <c:pt idx="0">
                  <c:v>208</c:v>
                </c:pt>
                <c:pt idx="1">
                  <c:v>96</c:v>
                </c:pt>
                <c:pt idx="2">
                  <c:v>178</c:v>
                </c:pt>
                <c:pt idx="3">
                  <c:v>102</c:v>
                </c:pt>
                <c:pt idx="4">
                  <c:v>98</c:v>
                </c:pt>
              </c:numCache>
            </c:numRef>
          </c:val>
          <c:extLst>
            <c:ext xmlns:c16="http://schemas.microsoft.com/office/drawing/2014/chart" uri="{C3380CC4-5D6E-409C-BE32-E72D297353CC}">
              <c16:uniqueId val="{00000000-6824-4117-8209-0B4E14AC0290}"/>
            </c:ext>
          </c:extLst>
        </c:ser>
        <c:ser>
          <c:idx val="1"/>
          <c:order val="1"/>
          <c:tx>
            <c:strRef>
              <c:f>Pivot_Table_Analysis!$D$15</c:f>
              <c:strCache>
                <c:ptCount val="1"/>
                <c:pt idx="0">
                  <c:v>Sum of Sales</c:v>
                </c:pt>
              </c:strCache>
            </c:strRef>
          </c:tx>
          <c:spPr>
            <a:solidFill>
              <a:srgbClr val="7030A0"/>
            </a:solidFill>
            <a:ln>
              <a:noFill/>
            </a:ln>
            <a:effectLst/>
          </c:spPr>
          <c:invertIfNegative val="0"/>
          <c:dLbls>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0">
                <a:spAutoFit/>
              </a:bodyPr>
              <a:lstStyle/>
              <a:p>
                <a:pPr algn="ct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Pivot_Table_Analysis!$B$16:$B$21</c:f>
              <c:strCache>
                <c:ptCount val="5"/>
                <c:pt idx="0">
                  <c:v>Bangalore</c:v>
                </c:pt>
                <c:pt idx="1">
                  <c:v>Chennai</c:v>
                </c:pt>
                <c:pt idx="2">
                  <c:v>Delhi</c:v>
                </c:pt>
                <c:pt idx="3">
                  <c:v>Kolkata</c:v>
                </c:pt>
                <c:pt idx="4">
                  <c:v>Mumbai</c:v>
                </c:pt>
              </c:strCache>
            </c:strRef>
          </c:cat>
          <c:val>
            <c:numRef>
              <c:f>Pivot_Table_Analysis!$D$16:$D$21</c:f>
              <c:numCache>
                <c:formatCode>General</c:formatCode>
                <c:ptCount val="5"/>
                <c:pt idx="0">
                  <c:v>3643000</c:v>
                </c:pt>
                <c:pt idx="1">
                  <c:v>1742000</c:v>
                </c:pt>
                <c:pt idx="2">
                  <c:v>3103000</c:v>
                </c:pt>
                <c:pt idx="3">
                  <c:v>1826000</c:v>
                </c:pt>
                <c:pt idx="4">
                  <c:v>1863000</c:v>
                </c:pt>
              </c:numCache>
            </c:numRef>
          </c:val>
          <c:extLst>
            <c:ext xmlns:c16="http://schemas.microsoft.com/office/drawing/2014/chart" uri="{C3380CC4-5D6E-409C-BE32-E72D297353CC}">
              <c16:uniqueId val="{00000001-6824-4117-8209-0B4E14AC0290}"/>
            </c:ext>
          </c:extLst>
        </c:ser>
        <c:dLbls>
          <c:showLegendKey val="0"/>
          <c:showVal val="0"/>
          <c:showCatName val="0"/>
          <c:showSerName val="0"/>
          <c:showPercent val="0"/>
          <c:showBubbleSize val="0"/>
        </c:dLbls>
        <c:gapWidth val="75"/>
        <c:axId val="502054912"/>
        <c:axId val="502058520"/>
      </c:barChart>
      <c:catAx>
        <c:axId val="50205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502058520"/>
        <c:crosses val="autoZero"/>
        <c:auto val="1"/>
        <c:lblAlgn val="ctr"/>
        <c:lblOffset val="100"/>
        <c:noMultiLvlLbl val="0"/>
      </c:catAx>
      <c:valAx>
        <c:axId val="502058520"/>
        <c:scaling>
          <c:orientation val="minMax"/>
        </c:scaling>
        <c:delete val="1"/>
        <c:axPos val="b"/>
        <c:numFmt formatCode="General" sourceLinked="1"/>
        <c:majorTickMark val="none"/>
        <c:minorTickMark val="none"/>
        <c:tickLblPos val="nextTo"/>
        <c:crossAx val="50205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 End_MIS_Sales_dashboard.xlsx]Pivot_Table_Analysis!PivotTable8</c:name>
    <c:fmtId val="5"/>
  </c:pivotSource>
  <c:chart>
    <c:title>
      <c:tx>
        <c:rich>
          <a:bodyPr rot="0" spcFirstLastPara="1" vertOverflow="ellipsis" vert="horz" wrap="square" anchor="ctr" anchorCtr="1"/>
          <a:lstStyle/>
          <a:p>
            <a:pPr algn="ctr" rtl="0">
              <a:defRPr lang="en-US" sz="2400" b="1" i="1" u="none" strike="noStrike" kern="1200" spc="0" baseline="0">
                <a:solidFill>
                  <a:srgbClr val="0070C0"/>
                </a:solidFill>
                <a:latin typeface="Aptos"/>
                <a:ea typeface="+mn-ea"/>
                <a:cs typeface="Segoe UI" panose="020B0502040204020203" pitchFamily="34" charset="0"/>
              </a:defRPr>
            </a:pPr>
            <a:r>
              <a:rPr lang="en-US" sz="2400" b="1" i="1" u="none" strike="noStrike" kern="1200" spc="0" baseline="0">
                <a:solidFill>
                  <a:srgbClr val="0070C0"/>
                </a:solidFill>
                <a:latin typeface="Aptos"/>
                <a:ea typeface="+mn-ea"/>
                <a:cs typeface="Segoe UI" panose="020B0502040204020203" pitchFamily="34" charset="0"/>
              </a:rPr>
              <a:t>Monthly Product Sales</a:t>
            </a:r>
          </a:p>
        </c:rich>
      </c:tx>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rgbClr val="0070C0"/>
              </a:solidFill>
              <a:latin typeface="Aptos"/>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4">
                <a:lumMod val="60000"/>
                <a:lumOff val="40000"/>
              </a:schemeClr>
            </a:solidFill>
            <a:prstDash val="sysDash"/>
            <a:round/>
          </a:ln>
          <a:effectLst/>
        </c:spPr>
        <c:marker>
          <c:symbol val="circle"/>
          <c:size val="5"/>
          <c:spPr>
            <a:solidFill>
              <a:srgbClr val="00B050"/>
            </a:solidFill>
            <a:ln w="9525">
              <a:solidFill>
                <a:schemeClr val="accent4">
                  <a:lumMod val="60000"/>
                  <a:lumOff val="40000"/>
                </a:schemeClr>
              </a:solidFill>
              <a:prstDash val="sysDash"/>
            </a:ln>
            <a:effectLst/>
          </c:spPr>
        </c:marker>
        <c:dLbl>
          <c:idx val="0"/>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ln w="28575" cap="rnd">
            <a:solidFill>
              <a:schemeClr val="accent4">
                <a:lumMod val="50000"/>
              </a:schemeClr>
            </a:solidFill>
            <a:prstDash val="sysDot"/>
            <a:round/>
          </a:ln>
          <a:effectLst/>
        </c:spPr>
        <c:marker>
          <c:symbol val="circle"/>
          <c:size val="5"/>
          <c:spPr>
            <a:solidFill>
              <a:srgbClr val="00B0F0"/>
            </a:solidFill>
            <a:ln w="9525">
              <a:solidFill>
                <a:schemeClr val="accent4">
                  <a:lumMod val="50000"/>
                </a:schemeClr>
              </a:solidFill>
              <a:prstDash val="sysDot"/>
            </a:ln>
            <a:effectLst/>
          </c:spPr>
        </c:marker>
        <c:dLbl>
          <c:idx val="0"/>
          <c:numFmt formatCode="\₹\ 0.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rgbClr val="7030A0"/>
            </a:solidFill>
            <a:prstDash val="dash"/>
            <a:round/>
          </a:ln>
          <a:effectLst/>
        </c:spPr>
        <c:marker>
          <c:symbol val="circle"/>
          <c:size val="5"/>
          <c:spPr>
            <a:solidFill>
              <a:schemeClr val="accent3"/>
            </a:solidFill>
            <a:ln w="9525">
              <a:solidFill>
                <a:srgbClr val="7030A0"/>
              </a:solidFill>
              <a:prstDash val="dash"/>
            </a:ln>
            <a:effectLst/>
          </c:spPr>
        </c:marker>
        <c:dLbl>
          <c:idx val="0"/>
          <c:numFmt formatCode="\₹\ 0.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4">
                <a:lumMod val="60000"/>
                <a:lumOff val="40000"/>
              </a:schemeClr>
            </a:solidFill>
            <a:prstDash val="sysDash"/>
            <a:round/>
          </a:ln>
          <a:effectLst/>
        </c:spPr>
        <c:marker>
          <c:symbol val="circle"/>
          <c:size val="5"/>
          <c:spPr>
            <a:solidFill>
              <a:srgbClr val="00B050"/>
            </a:solidFill>
            <a:ln w="9525">
              <a:solidFill>
                <a:schemeClr val="accent4">
                  <a:lumMod val="60000"/>
                  <a:lumOff val="40000"/>
                </a:schemeClr>
              </a:solidFill>
              <a:prstDash val="sysDash"/>
            </a:ln>
            <a:effectLst/>
          </c:spPr>
        </c:marker>
      </c:pivotFmt>
    </c:pivotFmts>
    <c:plotArea>
      <c:layout>
        <c:manualLayout>
          <c:layoutTarget val="inner"/>
          <c:xMode val="edge"/>
          <c:yMode val="edge"/>
          <c:x val="3.9199905129365033E-2"/>
          <c:y val="0.17337849320301044"/>
          <c:w val="0.76077273639019338"/>
          <c:h val="0.71902163786086259"/>
        </c:manualLayout>
      </c:layout>
      <c:lineChart>
        <c:grouping val="standard"/>
        <c:varyColors val="0"/>
        <c:ser>
          <c:idx val="0"/>
          <c:order val="0"/>
          <c:tx>
            <c:strRef>
              <c:f>Pivot_Table_Analysis!$H$15:$H$16</c:f>
              <c:strCache>
                <c:ptCount val="1"/>
                <c:pt idx="0">
                  <c:v>Laptop</c:v>
                </c:pt>
              </c:strCache>
            </c:strRef>
          </c:tx>
          <c:spPr>
            <a:ln w="28575" cap="rnd">
              <a:solidFill>
                <a:schemeClr val="accent4">
                  <a:lumMod val="60000"/>
                  <a:lumOff val="40000"/>
                </a:schemeClr>
              </a:solidFill>
              <a:prstDash val="sysDash"/>
              <a:round/>
            </a:ln>
            <a:effectLst/>
          </c:spPr>
          <c:marker>
            <c:symbol val="circle"/>
            <c:size val="5"/>
            <c:spPr>
              <a:solidFill>
                <a:srgbClr val="00B050"/>
              </a:solidFill>
              <a:ln w="9525">
                <a:solidFill>
                  <a:schemeClr val="accent4">
                    <a:lumMod val="60000"/>
                    <a:lumOff val="40000"/>
                  </a:schemeClr>
                </a:solidFill>
                <a:prstDash val="sysDash"/>
              </a:ln>
              <a:effectLst/>
            </c:spPr>
          </c:marker>
          <c:dLbls>
            <c:numFmt formatCode="\₹\ 0.00,,&quot;M&quot;"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Pivot_Table_Analysis!$G$17:$G$21</c:f>
              <c:strCache>
                <c:ptCount val="4"/>
                <c:pt idx="0">
                  <c:v>Jan</c:v>
                </c:pt>
                <c:pt idx="1">
                  <c:v>Feb</c:v>
                </c:pt>
                <c:pt idx="2">
                  <c:v>Mar</c:v>
                </c:pt>
                <c:pt idx="3">
                  <c:v>Apr</c:v>
                </c:pt>
              </c:strCache>
            </c:strRef>
          </c:cat>
          <c:val>
            <c:numRef>
              <c:f>Pivot_Table_Analysis!$H$17:$H$21</c:f>
              <c:numCache>
                <c:formatCode>General</c:formatCode>
                <c:ptCount val="4"/>
                <c:pt idx="0">
                  <c:v>1712000</c:v>
                </c:pt>
                <c:pt idx="1">
                  <c:v>1261000</c:v>
                </c:pt>
                <c:pt idx="2">
                  <c:v>1104000</c:v>
                </c:pt>
                <c:pt idx="3">
                  <c:v>1434000</c:v>
                </c:pt>
              </c:numCache>
            </c:numRef>
          </c:val>
          <c:smooth val="0"/>
          <c:extLst>
            <c:ext xmlns:c16="http://schemas.microsoft.com/office/drawing/2014/chart" uri="{C3380CC4-5D6E-409C-BE32-E72D297353CC}">
              <c16:uniqueId val="{00000000-5E0A-45F4-873C-76D5FD151F38}"/>
            </c:ext>
          </c:extLst>
        </c:ser>
        <c:ser>
          <c:idx val="1"/>
          <c:order val="1"/>
          <c:tx>
            <c:strRef>
              <c:f>Pivot_Table_Analysis!$I$15:$I$16</c:f>
              <c:strCache>
                <c:ptCount val="1"/>
                <c:pt idx="0">
                  <c:v>Mobile</c:v>
                </c:pt>
              </c:strCache>
            </c:strRef>
          </c:tx>
          <c:spPr>
            <a:ln w="28575" cap="rnd">
              <a:solidFill>
                <a:schemeClr val="accent4">
                  <a:lumMod val="50000"/>
                </a:schemeClr>
              </a:solidFill>
              <a:prstDash val="sysDot"/>
              <a:round/>
            </a:ln>
            <a:effectLst/>
          </c:spPr>
          <c:marker>
            <c:symbol val="circle"/>
            <c:size val="5"/>
            <c:spPr>
              <a:solidFill>
                <a:srgbClr val="00B0F0"/>
              </a:solidFill>
              <a:ln w="9525">
                <a:solidFill>
                  <a:schemeClr val="accent4">
                    <a:lumMod val="50000"/>
                  </a:schemeClr>
                </a:solidFill>
                <a:prstDash val="sysDot"/>
              </a:ln>
              <a:effectLst/>
            </c:spPr>
          </c:marker>
          <c:dLbls>
            <c:numFmt formatCode="\₹\ 0.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Pivot_Table_Analysis!$G$17:$G$21</c:f>
              <c:strCache>
                <c:ptCount val="4"/>
                <c:pt idx="0">
                  <c:v>Jan</c:v>
                </c:pt>
                <c:pt idx="1">
                  <c:v>Feb</c:v>
                </c:pt>
                <c:pt idx="2">
                  <c:v>Mar</c:v>
                </c:pt>
                <c:pt idx="3">
                  <c:v>Apr</c:v>
                </c:pt>
              </c:strCache>
            </c:strRef>
          </c:cat>
          <c:val>
            <c:numRef>
              <c:f>Pivot_Table_Analysis!$I$17:$I$21</c:f>
              <c:numCache>
                <c:formatCode>General</c:formatCode>
                <c:ptCount val="4"/>
                <c:pt idx="0">
                  <c:v>1487000</c:v>
                </c:pt>
                <c:pt idx="1">
                  <c:v>977000</c:v>
                </c:pt>
                <c:pt idx="2">
                  <c:v>1132000</c:v>
                </c:pt>
                <c:pt idx="3">
                  <c:v>1045000</c:v>
                </c:pt>
              </c:numCache>
            </c:numRef>
          </c:val>
          <c:smooth val="0"/>
          <c:extLst>
            <c:ext xmlns:c16="http://schemas.microsoft.com/office/drawing/2014/chart" uri="{C3380CC4-5D6E-409C-BE32-E72D297353CC}">
              <c16:uniqueId val="{00000000-AF91-4566-9102-48FBB0824DEC}"/>
            </c:ext>
          </c:extLst>
        </c:ser>
        <c:ser>
          <c:idx val="2"/>
          <c:order val="2"/>
          <c:tx>
            <c:strRef>
              <c:f>Pivot_Table_Analysis!$J$15:$J$16</c:f>
              <c:strCache>
                <c:ptCount val="1"/>
                <c:pt idx="0">
                  <c:v>Tablet</c:v>
                </c:pt>
              </c:strCache>
            </c:strRef>
          </c:tx>
          <c:spPr>
            <a:ln w="28575" cap="rnd">
              <a:solidFill>
                <a:srgbClr val="7030A0"/>
              </a:solidFill>
              <a:prstDash val="dash"/>
              <a:round/>
            </a:ln>
            <a:effectLst/>
          </c:spPr>
          <c:marker>
            <c:symbol val="circle"/>
            <c:size val="5"/>
            <c:spPr>
              <a:solidFill>
                <a:schemeClr val="accent3"/>
              </a:solidFill>
              <a:ln w="9525">
                <a:solidFill>
                  <a:srgbClr val="7030A0"/>
                </a:solidFill>
                <a:prstDash val="dash"/>
              </a:ln>
              <a:effectLst/>
            </c:spPr>
          </c:marker>
          <c:dLbls>
            <c:numFmt formatCode="\₹\ 0.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Pivot_Table_Analysis!$G$17:$G$21</c:f>
              <c:strCache>
                <c:ptCount val="4"/>
                <c:pt idx="0">
                  <c:v>Jan</c:v>
                </c:pt>
                <c:pt idx="1">
                  <c:v>Feb</c:v>
                </c:pt>
                <c:pt idx="2">
                  <c:v>Mar</c:v>
                </c:pt>
                <c:pt idx="3">
                  <c:v>Apr</c:v>
                </c:pt>
              </c:strCache>
            </c:strRef>
          </c:cat>
          <c:val>
            <c:numRef>
              <c:f>Pivot_Table_Analysis!$J$17:$J$21</c:f>
              <c:numCache>
                <c:formatCode>General</c:formatCode>
                <c:ptCount val="4"/>
                <c:pt idx="0">
                  <c:v>599000</c:v>
                </c:pt>
                <c:pt idx="1">
                  <c:v>458000</c:v>
                </c:pt>
                <c:pt idx="2">
                  <c:v>485000</c:v>
                </c:pt>
                <c:pt idx="3">
                  <c:v>483000</c:v>
                </c:pt>
              </c:numCache>
            </c:numRef>
          </c:val>
          <c:smooth val="0"/>
          <c:extLst>
            <c:ext xmlns:c16="http://schemas.microsoft.com/office/drawing/2014/chart" uri="{C3380CC4-5D6E-409C-BE32-E72D297353CC}">
              <c16:uniqueId val="{00000001-AF91-4566-9102-48FBB0824DEC}"/>
            </c:ext>
          </c:extLst>
        </c:ser>
        <c:dLbls>
          <c:showLegendKey val="0"/>
          <c:showVal val="0"/>
          <c:showCatName val="0"/>
          <c:showSerName val="0"/>
          <c:showPercent val="0"/>
          <c:showBubbleSize val="0"/>
        </c:dLbls>
        <c:marker val="1"/>
        <c:smooth val="0"/>
        <c:axId val="275384984"/>
        <c:axId val="275383672"/>
      </c:lineChart>
      <c:catAx>
        <c:axId val="27538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ptos"/>
                <a:ea typeface="+mn-ea"/>
                <a:cs typeface="+mn-cs"/>
              </a:defRPr>
            </a:pPr>
            <a:endParaRPr lang="en-US"/>
          </a:p>
        </c:txPr>
        <c:crossAx val="275383672"/>
        <c:crosses val="autoZero"/>
        <c:auto val="1"/>
        <c:lblAlgn val="r"/>
        <c:lblOffset val="100"/>
        <c:noMultiLvlLbl val="0"/>
      </c:catAx>
      <c:valAx>
        <c:axId val="27538367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75384984"/>
        <c:crosses val="autoZero"/>
        <c:crossBetween val="between"/>
      </c:valAx>
      <c:spPr>
        <a:noFill/>
        <a:ln>
          <a:noFill/>
        </a:ln>
        <a:effectLst/>
      </c:spPr>
    </c:plotArea>
    <c:legend>
      <c:legendPos val="r"/>
      <c:layout>
        <c:manualLayout>
          <c:xMode val="edge"/>
          <c:yMode val="edge"/>
          <c:x val="0.81843039107325788"/>
          <c:y val="0.41147478414696675"/>
          <c:w val="0.18156952264629544"/>
          <c:h val="0.18126495748848226"/>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C00000"/>
              </a:solidFill>
              <a:latin typeface="Book Antiqua" panose="0204060205030503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297544</xdr:colOff>
      <xdr:row>6</xdr:row>
      <xdr:rowOff>169068</xdr:rowOff>
    </xdr:from>
    <xdr:to>
      <xdr:col>8</xdr:col>
      <xdr:colOff>1020536</xdr:colOff>
      <xdr:row>13</xdr:row>
      <xdr:rowOff>734785</xdr:rowOff>
    </xdr:to>
    <xdr:graphicFrame macro="">
      <xdr:nvGraphicFramePr>
        <xdr:cNvPr id="5" name="Chart 4">
          <a:extLst>
            <a:ext uri="{FF2B5EF4-FFF2-40B4-BE49-F238E27FC236}">
              <a16:creationId xmlns:a16="http://schemas.microsoft.com/office/drawing/2014/main" id="{C43B6307-714A-4C33-8BAA-15128F821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42407</xdr:colOff>
      <xdr:row>6</xdr:row>
      <xdr:rowOff>133803</xdr:rowOff>
    </xdr:from>
    <xdr:to>
      <xdr:col>14</xdr:col>
      <xdr:colOff>353784</xdr:colOff>
      <xdr:row>13</xdr:row>
      <xdr:rowOff>748393</xdr:rowOff>
    </xdr:to>
    <xdr:graphicFrame macro="">
      <xdr:nvGraphicFramePr>
        <xdr:cNvPr id="4" name="Chart 3">
          <a:extLst>
            <a:ext uri="{FF2B5EF4-FFF2-40B4-BE49-F238E27FC236}">
              <a16:creationId xmlns:a16="http://schemas.microsoft.com/office/drawing/2014/main" id="{7509C310-434D-4A06-AA50-22C544993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312963</xdr:colOff>
      <xdr:row>13</xdr:row>
      <xdr:rowOff>893535</xdr:rowOff>
    </xdr:from>
    <xdr:to>
      <xdr:col>8</xdr:col>
      <xdr:colOff>1034141</xdr:colOff>
      <xdr:row>29</xdr:row>
      <xdr:rowOff>9071</xdr:rowOff>
    </xdr:to>
    <xdr:graphicFrame macro="">
      <xdr:nvGraphicFramePr>
        <xdr:cNvPr id="11" name="Chart 10">
          <a:extLst>
            <a:ext uri="{FF2B5EF4-FFF2-40B4-BE49-F238E27FC236}">
              <a16:creationId xmlns:a16="http://schemas.microsoft.com/office/drawing/2014/main" id="{DC19800D-E68B-48F4-8A76-C9D2B3199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2834</xdr:colOff>
      <xdr:row>7</xdr:row>
      <xdr:rowOff>38174</xdr:rowOff>
    </xdr:from>
    <xdr:to>
      <xdr:col>2</xdr:col>
      <xdr:colOff>76154</xdr:colOff>
      <xdr:row>11</xdr:row>
      <xdr:rowOff>631028</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575DCBA1-DBCA-4BF5-9ACF-8B0267BCAF0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2191" y="1752674"/>
              <a:ext cx="1461249" cy="1871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381568</xdr:colOff>
      <xdr:row>7</xdr:row>
      <xdr:rowOff>17466</xdr:rowOff>
    </xdr:from>
    <xdr:to>
      <xdr:col>4</xdr:col>
      <xdr:colOff>54474</xdr:colOff>
      <xdr:row>11</xdr:row>
      <xdr:rowOff>658635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163E24C-E86F-4474-A8C0-4400EC3121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68854" y="1731966"/>
              <a:ext cx="1373799"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38441</xdr:colOff>
      <xdr:row>11</xdr:row>
      <xdr:rowOff>889076</xdr:rowOff>
    </xdr:from>
    <xdr:to>
      <xdr:col>2</xdr:col>
      <xdr:colOff>104773</xdr:colOff>
      <xdr:row>14</xdr:row>
      <xdr:rowOff>568491</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AC130514-7CAF-450D-8698-D47A5BA64C1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7798" y="3882647"/>
              <a:ext cx="1454261"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252072</xdr:colOff>
      <xdr:row>14</xdr:row>
      <xdr:rowOff>666751</xdr:rowOff>
    </xdr:from>
    <xdr:to>
      <xdr:col>4</xdr:col>
      <xdr:colOff>93889</xdr:colOff>
      <xdr:row>19</xdr:row>
      <xdr:rowOff>122465</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CB79B858-7CF0-4633-B1B7-E0F6E3A3B69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2072" y="6449787"/>
              <a:ext cx="3229996" cy="14831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46606</xdr:colOff>
      <xdr:row>13</xdr:row>
      <xdr:rowOff>941160</xdr:rowOff>
    </xdr:from>
    <xdr:to>
      <xdr:col>14</xdr:col>
      <xdr:colOff>367393</xdr:colOff>
      <xdr:row>29</xdr:row>
      <xdr:rowOff>32883</xdr:rowOff>
    </xdr:to>
    <xdr:graphicFrame macro="">
      <xdr:nvGraphicFramePr>
        <xdr:cNvPr id="12" name="Chart 11">
          <a:extLst>
            <a:ext uri="{FF2B5EF4-FFF2-40B4-BE49-F238E27FC236}">
              <a16:creationId xmlns:a16="http://schemas.microsoft.com/office/drawing/2014/main" id="{328E57E5-A06F-43B5-AA99-7A89120DA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refreshedDate="46182.795297453704" createdVersion="6" refreshedVersion="6" minRefreshableVersion="3" recordCount="342" xr:uid="{FF1E0836-74DB-47D0-B242-3A44064299C6}">
  <cacheSource type="worksheet">
    <worksheetSource ref="B6:J348" sheet="Valid_Data"/>
  </cacheSource>
  <cacheFields count="10">
    <cacheField name="OrderID" numFmtId="49">
      <sharedItems containsSemiMixedTypes="0" containsString="0" containsNumber="1" containsInteger="1" minValue="1001" maxValue="1498"/>
    </cacheField>
    <cacheField name="Order  Date" numFmtId="164">
      <sharedItems containsSemiMixedTypes="0" containsNonDate="0" containsDate="1" containsString="0" minDate="2025-01-01T00:00:00" maxDate="2025-05-01T00:00:00" count="118">
        <d v="2025-01-01T00:00:00"/>
        <d v="2025-01-05T00:00:00"/>
        <d v="2025-01-07T00:00:00"/>
        <d v="2025-01-09T00:00:00"/>
        <d v="2025-01-10T00:00:00"/>
        <d v="2025-01-12T00:00:00"/>
        <d v="2025-01-13T00:00:00"/>
        <d v="2025-01-14T00:00:00"/>
        <d v="2025-01-15T00:00:00"/>
        <d v="2025-01-16T00:00:00"/>
        <d v="2025-01-17T00:00:00"/>
        <d v="2025-01-18T00:00:00"/>
        <d v="2025-01-19T00:00:00"/>
        <d v="2025-01-21T00:00:00"/>
        <d v="2025-01-23T00:00:00"/>
        <d v="2025-01-24T00:00:00"/>
        <d v="2025-01-25T00:00:00"/>
        <d v="2025-01-26T00:00:00"/>
        <d v="2025-01-28T00:00:00"/>
        <d v="2025-01-29T00:00:00"/>
        <d v="2025-01-30T00:00:00"/>
        <d v="2025-01-31T00:00:00"/>
        <d v="2025-02-02T00:00:00"/>
        <d v="2025-02-03T00:00:00"/>
        <d v="2025-02-05T00:00:00"/>
        <d v="2025-02-06T00:00:00"/>
        <d v="2025-02-07T00:00:00"/>
        <d v="2025-02-08T00:00:00"/>
        <d v="2025-02-10T00:00:00"/>
        <d v="2025-02-11T00:00:00"/>
        <d v="2025-02-12T00:00:00"/>
        <d v="2025-02-13T00:00:00"/>
        <d v="2025-02-14T00:00:00"/>
        <d v="2025-02-15T00:00:00"/>
        <d v="2025-02-16T00:00:00"/>
        <d v="2025-02-19T00:00:00"/>
        <d v="2025-02-21T00:00:00"/>
        <d v="2025-02-22T00:00:00"/>
        <d v="2025-02-23T00:00:00"/>
        <d v="2025-02-24T00:00:00"/>
        <d v="2025-02-25T00:00:00"/>
        <d v="2025-02-26T00:00:00"/>
        <d v="2025-02-27T00:00:00"/>
        <d v="2025-02-28T00:00:00"/>
        <d v="2025-03-02T00:00:00"/>
        <d v="2025-03-03T00:00:00"/>
        <d v="2025-03-05T00:00:00"/>
        <d v="2025-03-07T00:00:00"/>
        <d v="2025-03-08T00:00:00"/>
        <d v="2025-03-09T00:00:00"/>
        <d v="2025-03-10T00:00:00"/>
        <d v="2025-03-14T00:00:00"/>
        <d v="2025-03-16T00:00:00"/>
        <d v="2025-03-18T00:00:00"/>
        <d v="2025-03-19T00:00:00"/>
        <d v="2025-03-21T00:00:00"/>
        <d v="2025-03-22T00:00:00"/>
        <d v="2025-03-23T00:00:00"/>
        <d v="2025-03-26T00:00:00"/>
        <d v="2025-03-27T00:00:00"/>
        <d v="2025-03-28T00:00:00"/>
        <d v="2025-03-29T00:00:00"/>
        <d v="2025-03-30T00:00:00"/>
        <d v="2025-04-01T00:00:00"/>
        <d v="2025-04-02T00:00:00"/>
        <d v="2025-04-03T00:00:00"/>
        <d v="2025-04-05T00:00:00"/>
        <d v="2025-04-06T00:00:00"/>
        <d v="2025-04-07T00:00:00"/>
        <d v="2025-04-08T00:00:00"/>
        <d v="2025-04-09T00:00:00"/>
        <d v="2025-04-10T00:00:00"/>
        <d v="2025-04-14T00:00:00"/>
        <d v="2025-04-16T00:00:00"/>
        <d v="2025-04-17T00:00:00"/>
        <d v="2025-04-19T00:00:00"/>
        <d v="2025-04-21T00:00:00"/>
        <d v="2025-04-22T00:00:00"/>
        <d v="2025-04-23T00:00:00"/>
        <d v="2025-04-26T00:00:00"/>
        <d v="2025-04-29T00:00:00"/>
        <d v="2025-04-30T00:00:00"/>
        <d v="2025-01-02T00:00:00"/>
        <d v="2025-01-03T00:00:00"/>
        <d v="2025-01-04T00:00:00"/>
        <d v="2025-01-06T00:00:00"/>
        <d v="2025-01-08T00:00:00"/>
        <d v="2025-01-11T00:00:00"/>
        <d v="2025-01-20T00:00:00"/>
        <d v="2025-01-22T00:00:00"/>
        <d v="2025-01-27T00:00:00"/>
        <d v="2025-02-04T00:00:00"/>
        <d v="2025-02-09T00:00:00"/>
        <d v="2025-02-18T00:00:00"/>
        <d v="2025-03-01T00:00:00"/>
        <d v="2025-03-04T00:00:00"/>
        <d v="2025-03-06T00:00:00"/>
        <d v="2025-03-11T00:00:00"/>
        <d v="2025-03-13T00:00:00"/>
        <d v="2025-03-15T00:00:00"/>
        <d v="2025-03-25T00:00:00"/>
        <d v="2025-04-04T00:00:00"/>
        <d v="2025-04-11T00:00:00"/>
        <d v="2025-04-12T00:00:00"/>
        <d v="2025-04-13T00:00:00"/>
        <d v="2025-04-15T00:00:00"/>
        <d v="2025-04-18T00:00:00"/>
        <d v="2025-04-25T00:00:00"/>
        <d v="2025-02-17T00:00:00"/>
        <d v="2025-02-20T00:00:00"/>
        <d v="2025-03-12T00:00:00"/>
        <d v="2025-03-17T00:00:00"/>
        <d v="2025-04-20T00:00:00"/>
        <d v="2025-04-24T00:00:00"/>
        <d v="2025-04-27T00:00:00"/>
        <d v="2025-04-28T00:00:00"/>
        <d v="2025-03-24T00:00:00"/>
        <d v="2025-03-31T00:00:00"/>
      </sharedItems>
      <fieldGroup par="9" base="1">
        <rangePr groupBy="days" startDate="2025-01-01T00:00:00" endDate="2025-05-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1/2025"/>
        </groupItems>
      </fieldGroup>
    </cacheField>
    <cacheField name="City" numFmtId="0">
      <sharedItems count="5">
        <s v="Mumbai"/>
        <s v="Delhi"/>
        <s v="Bangalore"/>
        <s v="Chennai"/>
        <s v="Kolkata"/>
      </sharedItems>
    </cacheField>
    <cacheField name="Product" numFmtId="0">
      <sharedItems count="3">
        <s v="Tablet"/>
        <s v="Mobile"/>
        <s v="Laptop"/>
      </sharedItems>
    </cacheField>
    <cacheField name="Sales" numFmtId="0">
      <sharedItems containsSemiMixedTypes="0" containsString="0" containsNumber="1" containsInteger="1" minValue="15000" maxValue="55000"/>
    </cacheField>
    <cacheField name="Quantity" numFmtId="0">
      <sharedItems containsSemiMixedTypes="0" containsString="0" containsNumber="1" containsInteger="1" minValue="1" maxValue="3" count="3">
        <n v="3"/>
        <n v="2"/>
        <n v="1"/>
      </sharedItems>
    </cacheField>
    <cacheField name="Customer  Name" numFmtId="0">
      <sharedItems/>
    </cacheField>
    <cacheField name="Region" numFmtId="0">
      <sharedItems count="4">
        <s v="West"/>
        <s v="East"/>
        <s v="North"/>
        <s v="South"/>
      </sharedItems>
    </cacheField>
    <cacheField name="Status Check" numFmtId="0">
      <sharedItems/>
    </cacheField>
    <cacheField name="Months" numFmtId="0" databaseField="0">
      <fieldGroup base="1">
        <rangePr groupBy="months" startDate="2025-01-01T00:00:00" endDate="2025-05-01T00:00:00"/>
        <groupItems count="14">
          <s v="&lt;1/1/2025"/>
          <s v="Jan"/>
          <s v="Feb"/>
          <s v="Mar"/>
          <s v="Apr"/>
          <s v="May"/>
          <s v="Jun"/>
          <s v="Jul"/>
          <s v="Aug"/>
          <s v="Sep"/>
          <s v="Oct"/>
          <s v="Nov"/>
          <s v="Dec"/>
          <s v="&gt;5/1/2025"/>
        </groupItems>
      </fieldGroup>
    </cacheField>
  </cacheFields>
  <extLst>
    <ext xmlns:x14="http://schemas.microsoft.com/office/spreadsheetml/2009/9/main" uri="{725AE2AE-9491-48be-B2B4-4EB974FC3084}">
      <x14:pivotCacheDefinition pivotCacheId="2056842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n v="1001"/>
    <x v="0"/>
    <x v="0"/>
    <x v="0"/>
    <n v="21000"/>
    <x v="0"/>
    <s v="Neha"/>
    <x v="0"/>
    <s v="Valid Response"/>
  </r>
  <r>
    <n v="1005"/>
    <x v="1"/>
    <x v="1"/>
    <x v="1"/>
    <n v="53000"/>
    <x v="0"/>
    <s v="Rahul"/>
    <x v="1"/>
    <s v="Valid Response"/>
  </r>
  <r>
    <n v="1007"/>
    <x v="2"/>
    <x v="1"/>
    <x v="2"/>
    <n v="15000"/>
    <x v="1"/>
    <s v="Ravi"/>
    <x v="0"/>
    <s v="Valid Response"/>
  </r>
  <r>
    <n v="1009"/>
    <x v="3"/>
    <x v="2"/>
    <x v="2"/>
    <n v="53000"/>
    <x v="2"/>
    <s v="Anita"/>
    <x v="0"/>
    <s v="Valid Response"/>
  </r>
  <r>
    <n v="1010"/>
    <x v="4"/>
    <x v="0"/>
    <x v="0"/>
    <n v="52000"/>
    <x v="1"/>
    <s v="Rahul"/>
    <x v="2"/>
    <s v="Valid Response"/>
  </r>
  <r>
    <n v="1012"/>
    <x v="5"/>
    <x v="2"/>
    <x v="1"/>
    <n v="21000"/>
    <x v="1"/>
    <s v="Amit"/>
    <x v="0"/>
    <s v="Valid Response"/>
  </r>
  <r>
    <n v="1013"/>
    <x v="6"/>
    <x v="3"/>
    <x v="0"/>
    <n v="21000"/>
    <x v="2"/>
    <s v="Amit"/>
    <x v="1"/>
    <s v="Valid Response"/>
  </r>
  <r>
    <n v="1014"/>
    <x v="7"/>
    <x v="0"/>
    <x v="2"/>
    <n v="53000"/>
    <x v="2"/>
    <s v="Neha"/>
    <x v="0"/>
    <s v="Valid Response"/>
  </r>
  <r>
    <n v="1015"/>
    <x v="8"/>
    <x v="4"/>
    <x v="1"/>
    <n v="48000"/>
    <x v="0"/>
    <s v="Karan"/>
    <x v="0"/>
    <s v="Valid Response"/>
  </r>
  <r>
    <n v="1016"/>
    <x v="9"/>
    <x v="0"/>
    <x v="1"/>
    <n v="15000"/>
    <x v="0"/>
    <s v="Karan"/>
    <x v="1"/>
    <s v="Valid Response"/>
  </r>
  <r>
    <n v="1017"/>
    <x v="10"/>
    <x v="2"/>
    <x v="1"/>
    <n v="48000"/>
    <x v="1"/>
    <s v="Neha"/>
    <x v="0"/>
    <s v="Valid Response"/>
  </r>
  <r>
    <n v="1018"/>
    <x v="11"/>
    <x v="2"/>
    <x v="2"/>
    <n v="48000"/>
    <x v="2"/>
    <s v="Ravi"/>
    <x v="0"/>
    <s v="Valid Response"/>
  </r>
  <r>
    <n v="1019"/>
    <x v="12"/>
    <x v="1"/>
    <x v="2"/>
    <n v="20000"/>
    <x v="1"/>
    <s v="Rahul"/>
    <x v="2"/>
    <s v="Valid Response"/>
  </r>
  <r>
    <n v="1021"/>
    <x v="13"/>
    <x v="4"/>
    <x v="2"/>
    <n v="53000"/>
    <x v="2"/>
    <s v="Ravi"/>
    <x v="3"/>
    <s v="Valid Response"/>
  </r>
  <r>
    <n v="1023"/>
    <x v="14"/>
    <x v="2"/>
    <x v="2"/>
    <n v="55000"/>
    <x v="1"/>
    <s v="Amit"/>
    <x v="0"/>
    <s v="Valid Response"/>
  </r>
  <r>
    <n v="1024"/>
    <x v="15"/>
    <x v="2"/>
    <x v="1"/>
    <n v="15000"/>
    <x v="0"/>
    <s v="Rahul"/>
    <x v="0"/>
    <s v="Valid Response"/>
  </r>
  <r>
    <n v="1025"/>
    <x v="16"/>
    <x v="4"/>
    <x v="1"/>
    <n v="52000"/>
    <x v="1"/>
    <s v="Rahul"/>
    <x v="0"/>
    <s v="Valid Response"/>
  </r>
  <r>
    <n v="1026"/>
    <x v="17"/>
    <x v="1"/>
    <x v="0"/>
    <n v="15000"/>
    <x v="2"/>
    <s v="Pooja"/>
    <x v="2"/>
    <s v="Valid Response"/>
  </r>
  <r>
    <n v="1028"/>
    <x v="18"/>
    <x v="2"/>
    <x v="2"/>
    <n v="52000"/>
    <x v="0"/>
    <s v="Neha"/>
    <x v="2"/>
    <s v="Valid Response"/>
  </r>
  <r>
    <n v="1029"/>
    <x v="19"/>
    <x v="2"/>
    <x v="1"/>
    <n v="52000"/>
    <x v="1"/>
    <s v="Karan"/>
    <x v="0"/>
    <s v="Valid Response"/>
  </r>
  <r>
    <n v="1030"/>
    <x v="20"/>
    <x v="4"/>
    <x v="1"/>
    <n v="48000"/>
    <x v="2"/>
    <s v="Ravi"/>
    <x v="0"/>
    <s v="Valid Response"/>
  </r>
  <r>
    <n v="1031"/>
    <x v="21"/>
    <x v="3"/>
    <x v="1"/>
    <n v="15000"/>
    <x v="2"/>
    <s v="Ravi"/>
    <x v="2"/>
    <s v="Valid Response"/>
  </r>
  <r>
    <n v="1033"/>
    <x v="22"/>
    <x v="3"/>
    <x v="1"/>
    <n v="20000"/>
    <x v="0"/>
    <s v="Arjun"/>
    <x v="0"/>
    <s v="Valid Response"/>
  </r>
  <r>
    <n v="1034"/>
    <x v="23"/>
    <x v="3"/>
    <x v="1"/>
    <n v="20000"/>
    <x v="0"/>
    <s v="Rahul"/>
    <x v="2"/>
    <s v="Valid Response"/>
  </r>
  <r>
    <n v="1036"/>
    <x v="24"/>
    <x v="0"/>
    <x v="2"/>
    <n v="15000"/>
    <x v="0"/>
    <s v="Karan"/>
    <x v="3"/>
    <s v="Valid Response"/>
  </r>
  <r>
    <n v="1037"/>
    <x v="25"/>
    <x v="0"/>
    <x v="2"/>
    <n v="55000"/>
    <x v="2"/>
    <s v="Karan"/>
    <x v="2"/>
    <s v="Valid Response"/>
  </r>
  <r>
    <n v="1038"/>
    <x v="26"/>
    <x v="2"/>
    <x v="1"/>
    <n v="20000"/>
    <x v="1"/>
    <s v="Pooja"/>
    <x v="1"/>
    <s v="Valid Response"/>
  </r>
  <r>
    <n v="1039"/>
    <x v="27"/>
    <x v="2"/>
    <x v="2"/>
    <n v="20000"/>
    <x v="0"/>
    <s v="Rahul"/>
    <x v="2"/>
    <s v="Valid Response"/>
  </r>
  <r>
    <n v="1041"/>
    <x v="28"/>
    <x v="1"/>
    <x v="2"/>
    <n v="48000"/>
    <x v="2"/>
    <s v="Pooja"/>
    <x v="3"/>
    <s v="Valid Response"/>
  </r>
  <r>
    <n v="1042"/>
    <x v="29"/>
    <x v="2"/>
    <x v="1"/>
    <n v="55000"/>
    <x v="0"/>
    <s v="Pooja"/>
    <x v="0"/>
    <s v="Valid Response"/>
  </r>
  <r>
    <n v="1043"/>
    <x v="30"/>
    <x v="2"/>
    <x v="2"/>
    <n v="20000"/>
    <x v="1"/>
    <s v="Anita"/>
    <x v="2"/>
    <s v="Valid Response"/>
  </r>
  <r>
    <n v="1044"/>
    <x v="31"/>
    <x v="2"/>
    <x v="1"/>
    <n v="48000"/>
    <x v="1"/>
    <s v="Anita"/>
    <x v="1"/>
    <s v="Valid Response"/>
  </r>
  <r>
    <n v="1045"/>
    <x v="32"/>
    <x v="4"/>
    <x v="2"/>
    <n v="53000"/>
    <x v="0"/>
    <s v="Karan"/>
    <x v="0"/>
    <s v="Valid Response"/>
  </r>
  <r>
    <n v="1046"/>
    <x v="33"/>
    <x v="2"/>
    <x v="2"/>
    <n v="48000"/>
    <x v="1"/>
    <s v="Amit"/>
    <x v="3"/>
    <s v="Valid Response"/>
  </r>
  <r>
    <n v="1047"/>
    <x v="34"/>
    <x v="2"/>
    <x v="0"/>
    <n v="55000"/>
    <x v="0"/>
    <s v="Anita"/>
    <x v="0"/>
    <s v="Valid Response"/>
  </r>
  <r>
    <n v="1050"/>
    <x v="35"/>
    <x v="2"/>
    <x v="2"/>
    <n v="15000"/>
    <x v="2"/>
    <s v="Anita"/>
    <x v="3"/>
    <s v="Valid Response"/>
  </r>
  <r>
    <n v="1052"/>
    <x v="36"/>
    <x v="0"/>
    <x v="2"/>
    <n v="52000"/>
    <x v="2"/>
    <s v="Neha"/>
    <x v="2"/>
    <s v="Valid Response"/>
  </r>
  <r>
    <n v="1053"/>
    <x v="37"/>
    <x v="1"/>
    <x v="1"/>
    <n v="55000"/>
    <x v="0"/>
    <s v="Anita"/>
    <x v="2"/>
    <s v="Valid Response"/>
  </r>
  <r>
    <n v="1054"/>
    <x v="38"/>
    <x v="0"/>
    <x v="2"/>
    <n v="21000"/>
    <x v="2"/>
    <s v="Rahul"/>
    <x v="3"/>
    <s v="Valid Response"/>
  </r>
  <r>
    <n v="1055"/>
    <x v="39"/>
    <x v="1"/>
    <x v="2"/>
    <n v="55000"/>
    <x v="1"/>
    <s v="Anita"/>
    <x v="1"/>
    <s v="Valid Response"/>
  </r>
  <r>
    <n v="1056"/>
    <x v="40"/>
    <x v="1"/>
    <x v="1"/>
    <n v="48000"/>
    <x v="1"/>
    <s v="Rahul"/>
    <x v="2"/>
    <s v="Valid Response"/>
  </r>
  <r>
    <n v="1057"/>
    <x v="41"/>
    <x v="3"/>
    <x v="1"/>
    <n v="52000"/>
    <x v="1"/>
    <s v="Pooja"/>
    <x v="2"/>
    <s v="Valid Response"/>
  </r>
  <r>
    <n v="1058"/>
    <x v="42"/>
    <x v="2"/>
    <x v="1"/>
    <n v="21000"/>
    <x v="1"/>
    <s v="Neha"/>
    <x v="2"/>
    <s v="Valid Response"/>
  </r>
  <r>
    <n v="1059"/>
    <x v="43"/>
    <x v="3"/>
    <x v="1"/>
    <n v="48000"/>
    <x v="0"/>
    <s v="Rahul"/>
    <x v="2"/>
    <s v="Valid Response"/>
  </r>
  <r>
    <n v="1061"/>
    <x v="44"/>
    <x v="2"/>
    <x v="1"/>
    <n v="21000"/>
    <x v="1"/>
    <s v="Pooja"/>
    <x v="2"/>
    <s v="Valid Response"/>
  </r>
  <r>
    <n v="1062"/>
    <x v="45"/>
    <x v="1"/>
    <x v="2"/>
    <n v="55000"/>
    <x v="0"/>
    <s v="Ravi"/>
    <x v="0"/>
    <s v="Valid Response"/>
  </r>
  <r>
    <n v="1064"/>
    <x v="46"/>
    <x v="2"/>
    <x v="1"/>
    <n v="21000"/>
    <x v="1"/>
    <s v="Anita"/>
    <x v="0"/>
    <s v="Valid Response"/>
  </r>
  <r>
    <n v="1066"/>
    <x v="47"/>
    <x v="1"/>
    <x v="2"/>
    <n v="21000"/>
    <x v="0"/>
    <s v="Arjun"/>
    <x v="1"/>
    <s v="Valid Response"/>
  </r>
  <r>
    <n v="1067"/>
    <x v="48"/>
    <x v="2"/>
    <x v="2"/>
    <n v="53000"/>
    <x v="2"/>
    <s v="Neha"/>
    <x v="1"/>
    <s v="Valid Response"/>
  </r>
  <r>
    <n v="1068"/>
    <x v="49"/>
    <x v="3"/>
    <x v="2"/>
    <n v="20000"/>
    <x v="0"/>
    <s v="Neha"/>
    <x v="2"/>
    <s v="Valid Response"/>
  </r>
  <r>
    <n v="1069"/>
    <x v="50"/>
    <x v="0"/>
    <x v="2"/>
    <n v="55000"/>
    <x v="2"/>
    <s v="Ravi"/>
    <x v="2"/>
    <s v="Valid Response"/>
  </r>
  <r>
    <n v="1073"/>
    <x v="51"/>
    <x v="1"/>
    <x v="2"/>
    <n v="21000"/>
    <x v="1"/>
    <s v="Arjun"/>
    <x v="3"/>
    <s v="Valid Response"/>
  </r>
  <r>
    <n v="1075"/>
    <x v="52"/>
    <x v="2"/>
    <x v="1"/>
    <n v="21000"/>
    <x v="2"/>
    <s v="Ravi"/>
    <x v="1"/>
    <s v="Valid Response"/>
  </r>
  <r>
    <n v="1077"/>
    <x v="53"/>
    <x v="1"/>
    <x v="1"/>
    <n v="21000"/>
    <x v="0"/>
    <s v="Ravi"/>
    <x v="3"/>
    <s v="Valid Response"/>
  </r>
  <r>
    <n v="1078"/>
    <x v="54"/>
    <x v="1"/>
    <x v="1"/>
    <n v="52000"/>
    <x v="0"/>
    <s v="Arjun"/>
    <x v="3"/>
    <s v="Valid Response"/>
  </r>
  <r>
    <n v="1080"/>
    <x v="55"/>
    <x v="1"/>
    <x v="1"/>
    <n v="55000"/>
    <x v="2"/>
    <s v="Rahul"/>
    <x v="1"/>
    <s v="Valid Response"/>
  </r>
  <r>
    <n v="1081"/>
    <x v="56"/>
    <x v="2"/>
    <x v="2"/>
    <n v="53000"/>
    <x v="0"/>
    <s v="Rahul"/>
    <x v="0"/>
    <s v="Valid Response"/>
  </r>
  <r>
    <n v="1082"/>
    <x v="57"/>
    <x v="0"/>
    <x v="2"/>
    <n v="21000"/>
    <x v="1"/>
    <s v="Neha"/>
    <x v="1"/>
    <s v="Valid Response"/>
  </r>
  <r>
    <n v="1085"/>
    <x v="58"/>
    <x v="1"/>
    <x v="2"/>
    <n v="55000"/>
    <x v="1"/>
    <s v="Pooja"/>
    <x v="3"/>
    <s v="Valid Response"/>
  </r>
  <r>
    <n v="1086"/>
    <x v="59"/>
    <x v="1"/>
    <x v="2"/>
    <n v="21000"/>
    <x v="0"/>
    <s v="Neha"/>
    <x v="0"/>
    <s v="Valid Response"/>
  </r>
  <r>
    <n v="1087"/>
    <x v="60"/>
    <x v="1"/>
    <x v="0"/>
    <n v="55000"/>
    <x v="0"/>
    <s v="Pooja"/>
    <x v="2"/>
    <s v="Valid Response"/>
  </r>
  <r>
    <n v="1088"/>
    <x v="61"/>
    <x v="4"/>
    <x v="0"/>
    <n v="53000"/>
    <x v="0"/>
    <s v="Arjun"/>
    <x v="0"/>
    <s v="Valid Response"/>
  </r>
  <r>
    <n v="1089"/>
    <x v="62"/>
    <x v="3"/>
    <x v="0"/>
    <n v="20000"/>
    <x v="1"/>
    <s v="Karan"/>
    <x v="1"/>
    <s v="Valid Response"/>
  </r>
  <r>
    <n v="1091"/>
    <x v="63"/>
    <x v="1"/>
    <x v="1"/>
    <n v="20000"/>
    <x v="1"/>
    <s v="Anita"/>
    <x v="2"/>
    <s v="Valid Response"/>
  </r>
  <r>
    <n v="1092"/>
    <x v="64"/>
    <x v="1"/>
    <x v="2"/>
    <n v="21000"/>
    <x v="1"/>
    <s v="Karan"/>
    <x v="0"/>
    <s v="Valid Response"/>
  </r>
  <r>
    <n v="1093"/>
    <x v="65"/>
    <x v="4"/>
    <x v="2"/>
    <n v="21000"/>
    <x v="2"/>
    <s v="Ravi"/>
    <x v="0"/>
    <s v="Valid Response"/>
  </r>
  <r>
    <n v="1095"/>
    <x v="66"/>
    <x v="2"/>
    <x v="1"/>
    <n v="55000"/>
    <x v="2"/>
    <s v="Rahul"/>
    <x v="2"/>
    <s v="Valid Response"/>
  </r>
  <r>
    <n v="1096"/>
    <x v="67"/>
    <x v="4"/>
    <x v="2"/>
    <n v="15000"/>
    <x v="2"/>
    <s v="Pooja"/>
    <x v="0"/>
    <s v="Valid Response"/>
  </r>
  <r>
    <n v="1097"/>
    <x v="68"/>
    <x v="2"/>
    <x v="2"/>
    <n v="48000"/>
    <x v="0"/>
    <s v="Rahul"/>
    <x v="2"/>
    <s v="Valid Response"/>
  </r>
  <r>
    <n v="1098"/>
    <x v="69"/>
    <x v="0"/>
    <x v="2"/>
    <n v="15000"/>
    <x v="2"/>
    <s v="Neha"/>
    <x v="2"/>
    <s v="Valid Response"/>
  </r>
  <r>
    <n v="1099"/>
    <x v="70"/>
    <x v="4"/>
    <x v="1"/>
    <n v="21000"/>
    <x v="1"/>
    <s v="Neha"/>
    <x v="0"/>
    <s v="Valid Response"/>
  </r>
  <r>
    <n v="1100"/>
    <x v="71"/>
    <x v="2"/>
    <x v="2"/>
    <n v="55000"/>
    <x v="0"/>
    <s v="Anita"/>
    <x v="1"/>
    <s v="Valid Response"/>
  </r>
  <r>
    <n v="1104"/>
    <x v="72"/>
    <x v="3"/>
    <x v="2"/>
    <n v="48000"/>
    <x v="0"/>
    <s v="Rahul"/>
    <x v="0"/>
    <s v="Valid Response"/>
  </r>
  <r>
    <n v="1106"/>
    <x v="73"/>
    <x v="4"/>
    <x v="1"/>
    <n v="48000"/>
    <x v="1"/>
    <s v="Arjun"/>
    <x v="0"/>
    <s v="Valid Response"/>
  </r>
  <r>
    <n v="1107"/>
    <x v="74"/>
    <x v="2"/>
    <x v="2"/>
    <n v="52000"/>
    <x v="2"/>
    <s v="Ravi"/>
    <x v="2"/>
    <s v="Valid Response"/>
  </r>
  <r>
    <n v="1109"/>
    <x v="75"/>
    <x v="4"/>
    <x v="2"/>
    <n v="15000"/>
    <x v="2"/>
    <s v="Anita"/>
    <x v="3"/>
    <s v="Valid Response"/>
  </r>
  <r>
    <n v="1111"/>
    <x v="76"/>
    <x v="3"/>
    <x v="2"/>
    <n v="55000"/>
    <x v="2"/>
    <s v="Anita"/>
    <x v="1"/>
    <s v="Valid Response"/>
  </r>
  <r>
    <n v="1112"/>
    <x v="77"/>
    <x v="2"/>
    <x v="2"/>
    <n v="15000"/>
    <x v="2"/>
    <s v="Anita"/>
    <x v="2"/>
    <s v="Valid Response"/>
  </r>
  <r>
    <n v="1113"/>
    <x v="78"/>
    <x v="0"/>
    <x v="1"/>
    <n v="20000"/>
    <x v="1"/>
    <s v="Rahul"/>
    <x v="1"/>
    <s v="Valid Response"/>
  </r>
  <r>
    <n v="1116"/>
    <x v="79"/>
    <x v="3"/>
    <x v="2"/>
    <n v="21000"/>
    <x v="0"/>
    <s v="Ravi"/>
    <x v="2"/>
    <s v="Valid Response"/>
  </r>
  <r>
    <n v="1119"/>
    <x v="80"/>
    <x v="0"/>
    <x v="2"/>
    <n v="15000"/>
    <x v="2"/>
    <s v="Pooja"/>
    <x v="0"/>
    <s v="Valid Response"/>
  </r>
  <r>
    <n v="1120"/>
    <x v="81"/>
    <x v="4"/>
    <x v="2"/>
    <n v="15000"/>
    <x v="1"/>
    <s v="Karan"/>
    <x v="2"/>
    <s v="Valid Response"/>
  </r>
  <r>
    <n v="1121"/>
    <x v="0"/>
    <x v="2"/>
    <x v="0"/>
    <n v="48000"/>
    <x v="1"/>
    <s v="Arjun"/>
    <x v="2"/>
    <s v="Valid Response"/>
  </r>
  <r>
    <n v="1122"/>
    <x v="82"/>
    <x v="1"/>
    <x v="2"/>
    <n v="21000"/>
    <x v="2"/>
    <s v="Neha"/>
    <x v="3"/>
    <s v="Valid Response"/>
  </r>
  <r>
    <n v="1123"/>
    <x v="83"/>
    <x v="4"/>
    <x v="0"/>
    <n v="21000"/>
    <x v="0"/>
    <s v="Ravi"/>
    <x v="2"/>
    <s v="Valid Response"/>
  </r>
  <r>
    <n v="1124"/>
    <x v="84"/>
    <x v="3"/>
    <x v="2"/>
    <n v="48000"/>
    <x v="1"/>
    <s v="Karan"/>
    <x v="1"/>
    <s v="Valid Response"/>
  </r>
  <r>
    <n v="1126"/>
    <x v="85"/>
    <x v="1"/>
    <x v="2"/>
    <n v="48000"/>
    <x v="0"/>
    <s v="Ravi"/>
    <x v="3"/>
    <s v="Valid Response"/>
  </r>
  <r>
    <n v="1127"/>
    <x v="2"/>
    <x v="0"/>
    <x v="1"/>
    <n v="52000"/>
    <x v="2"/>
    <s v="Karan"/>
    <x v="2"/>
    <s v="Valid Response"/>
  </r>
  <r>
    <n v="1128"/>
    <x v="86"/>
    <x v="1"/>
    <x v="2"/>
    <n v="15000"/>
    <x v="0"/>
    <s v="Neha"/>
    <x v="2"/>
    <s v="Valid Response"/>
  </r>
  <r>
    <n v="1129"/>
    <x v="3"/>
    <x v="1"/>
    <x v="2"/>
    <n v="52000"/>
    <x v="2"/>
    <s v="Rahul"/>
    <x v="0"/>
    <s v="Valid Response"/>
  </r>
  <r>
    <n v="1130"/>
    <x v="4"/>
    <x v="0"/>
    <x v="2"/>
    <n v="55000"/>
    <x v="0"/>
    <s v="Anita"/>
    <x v="2"/>
    <s v="Valid Response"/>
  </r>
  <r>
    <n v="1131"/>
    <x v="87"/>
    <x v="1"/>
    <x v="1"/>
    <n v="48000"/>
    <x v="1"/>
    <s v="Karan"/>
    <x v="2"/>
    <s v="Valid Response"/>
  </r>
  <r>
    <n v="1133"/>
    <x v="6"/>
    <x v="4"/>
    <x v="2"/>
    <n v="15000"/>
    <x v="2"/>
    <s v="Karan"/>
    <x v="0"/>
    <s v="Valid Response"/>
  </r>
  <r>
    <n v="1134"/>
    <x v="7"/>
    <x v="2"/>
    <x v="1"/>
    <n v="48000"/>
    <x v="2"/>
    <s v="Amit"/>
    <x v="1"/>
    <s v="Valid Response"/>
  </r>
  <r>
    <n v="1135"/>
    <x v="8"/>
    <x v="1"/>
    <x v="2"/>
    <n v="52000"/>
    <x v="1"/>
    <s v="Amit"/>
    <x v="0"/>
    <s v="Valid Response"/>
  </r>
  <r>
    <n v="1139"/>
    <x v="12"/>
    <x v="1"/>
    <x v="0"/>
    <n v="20000"/>
    <x v="1"/>
    <s v="Arjun"/>
    <x v="0"/>
    <s v="Valid Response"/>
  </r>
  <r>
    <n v="1140"/>
    <x v="88"/>
    <x v="4"/>
    <x v="0"/>
    <n v="55000"/>
    <x v="0"/>
    <s v="Amit"/>
    <x v="3"/>
    <s v="Valid Response"/>
  </r>
  <r>
    <n v="1141"/>
    <x v="13"/>
    <x v="4"/>
    <x v="2"/>
    <n v="21000"/>
    <x v="1"/>
    <s v="Ravi"/>
    <x v="3"/>
    <s v="Valid Response"/>
  </r>
  <r>
    <n v="1142"/>
    <x v="89"/>
    <x v="2"/>
    <x v="1"/>
    <n v="55000"/>
    <x v="0"/>
    <s v="Karan"/>
    <x v="2"/>
    <s v="Valid Response"/>
  </r>
  <r>
    <n v="1144"/>
    <x v="15"/>
    <x v="4"/>
    <x v="1"/>
    <n v="48000"/>
    <x v="2"/>
    <s v="Arjun"/>
    <x v="1"/>
    <s v="Valid Response"/>
  </r>
  <r>
    <n v="1145"/>
    <x v="16"/>
    <x v="2"/>
    <x v="2"/>
    <n v="52000"/>
    <x v="0"/>
    <s v="Amit"/>
    <x v="1"/>
    <s v="Valid Response"/>
  </r>
  <r>
    <n v="1147"/>
    <x v="90"/>
    <x v="1"/>
    <x v="1"/>
    <n v="21000"/>
    <x v="0"/>
    <s v="Karan"/>
    <x v="1"/>
    <s v="Valid Response"/>
  </r>
  <r>
    <n v="1149"/>
    <x v="19"/>
    <x v="2"/>
    <x v="2"/>
    <n v="21000"/>
    <x v="1"/>
    <s v="Ravi"/>
    <x v="3"/>
    <s v="Valid Response"/>
  </r>
  <r>
    <n v="1151"/>
    <x v="21"/>
    <x v="4"/>
    <x v="0"/>
    <n v="55000"/>
    <x v="1"/>
    <s v="Karan"/>
    <x v="3"/>
    <s v="Valid Response"/>
  </r>
  <r>
    <n v="1153"/>
    <x v="22"/>
    <x v="2"/>
    <x v="2"/>
    <n v="21000"/>
    <x v="0"/>
    <s v="Amit"/>
    <x v="0"/>
    <s v="Valid Response"/>
  </r>
  <r>
    <n v="1155"/>
    <x v="91"/>
    <x v="2"/>
    <x v="2"/>
    <n v="21000"/>
    <x v="0"/>
    <s v="Arjun"/>
    <x v="2"/>
    <s v="Valid Response"/>
  </r>
  <r>
    <n v="1156"/>
    <x v="24"/>
    <x v="0"/>
    <x v="1"/>
    <n v="52000"/>
    <x v="1"/>
    <s v="Pooja"/>
    <x v="1"/>
    <s v="Valid Response"/>
  </r>
  <r>
    <n v="1157"/>
    <x v="25"/>
    <x v="3"/>
    <x v="1"/>
    <n v="48000"/>
    <x v="2"/>
    <s v="Anita"/>
    <x v="1"/>
    <s v="Valid Response"/>
  </r>
  <r>
    <n v="1160"/>
    <x v="92"/>
    <x v="2"/>
    <x v="2"/>
    <n v="52000"/>
    <x v="0"/>
    <s v="Pooja"/>
    <x v="1"/>
    <s v="Valid Response"/>
  </r>
  <r>
    <n v="1162"/>
    <x v="29"/>
    <x v="4"/>
    <x v="2"/>
    <n v="21000"/>
    <x v="2"/>
    <s v="Amit"/>
    <x v="1"/>
    <s v="Valid Response"/>
  </r>
  <r>
    <n v="1163"/>
    <x v="30"/>
    <x v="2"/>
    <x v="1"/>
    <n v="53000"/>
    <x v="2"/>
    <s v="Ravi"/>
    <x v="3"/>
    <s v="Valid Response"/>
  </r>
  <r>
    <n v="1164"/>
    <x v="31"/>
    <x v="3"/>
    <x v="1"/>
    <n v="48000"/>
    <x v="2"/>
    <s v="Karan"/>
    <x v="0"/>
    <s v="Valid Response"/>
  </r>
  <r>
    <n v="1165"/>
    <x v="32"/>
    <x v="4"/>
    <x v="2"/>
    <n v="15000"/>
    <x v="1"/>
    <s v="Neha"/>
    <x v="0"/>
    <s v="Valid Response"/>
  </r>
  <r>
    <n v="1166"/>
    <x v="33"/>
    <x v="1"/>
    <x v="1"/>
    <n v="20000"/>
    <x v="1"/>
    <s v="Amit"/>
    <x v="3"/>
    <s v="Valid Response"/>
  </r>
  <r>
    <n v="1169"/>
    <x v="93"/>
    <x v="2"/>
    <x v="2"/>
    <n v="21000"/>
    <x v="1"/>
    <s v="Pooja"/>
    <x v="2"/>
    <s v="Valid Response"/>
  </r>
  <r>
    <n v="1170"/>
    <x v="35"/>
    <x v="2"/>
    <x v="2"/>
    <n v="20000"/>
    <x v="2"/>
    <s v="Pooja"/>
    <x v="3"/>
    <s v="Valid Response"/>
  </r>
  <r>
    <n v="1174"/>
    <x v="38"/>
    <x v="2"/>
    <x v="0"/>
    <n v="53000"/>
    <x v="2"/>
    <s v="Karan"/>
    <x v="0"/>
    <s v="Valid Response"/>
  </r>
  <r>
    <n v="1175"/>
    <x v="39"/>
    <x v="3"/>
    <x v="0"/>
    <n v="48000"/>
    <x v="2"/>
    <s v="Karan"/>
    <x v="2"/>
    <s v="Valid Response"/>
  </r>
  <r>
    <n v="1177"/>
    <x v="41"/>
    <x v="0"/>
    <x v="2"/>
    <n v="21000"/>
    <x v="1"/>
    <s v="Pooja"/>
    <x v="1"/>
    <s v="Valid Response"/>
  </r>
  <r>
    <n v="1178"/>
    <x v="42"/>
    <x v="4"/>
    <x v="1"/>
    <n v="15000"/>
    <x v="2"/>
    <s v="Rahul"/>
    <x v="1"/>
    <s v="Valid Response"/>
  </r>
  <r>
    <n v="1180"/>
    <x v="94"/>
    <x v="2"/>
    <x v="1"/>
    <n v="15000"/>
    <x v="0"/>
    <s v="Neha"/>
    <x v="0"/>
    <s v="Valid Response"/>
  </r>
  <r>
    <n v="1181"/>
    <x v="44"/>
    <x v="1"/>
    <x v="2"/>
    <n v="15000"/>
    <x v="2"/>
    <s v="Pooja"/>
    <x v="0"/>
    <s v="Valid Response"/>
  </r>
  <r>
    <n v="1182"/>
    <x v="45"/>
    <x v="2"/>
    <x v="1"/>
    <n v="15000"/>
    <x v="0"/>
    <s v="Pooja"/>
    <x v="3"/>
    <s v="Valid Response"/>
  </r>
  <r>
    <n v="1183"/>
    <x v="95"/>
    <x v="0"/>
    <x v="0"/>
    <n v="20000"/>
    <x v="1"/>
    <s v="Karan"/>
    <x v="2"/>
    <s v="Valid Response"/>
  </r>
  <r>
    <n v="1184"/>
    <x v="46"/>
    <x v="2"/>
    <x v="1"/>
    <n v="20000"/>
    <x v="1"/>
    <s v="Neha"/>
    <x v="1"/>
    <s v="Valid Response"/>
  </r>
  <r>
    <n v="1185"/>
    <x v="96"/>
    <x v="0"/>
    <x v="2"/>
    <n v="21000"/>
    <x v="2"/>
    <s v="Ravi"/>
    <x v="0"/>
    <s v="Valid Response"/>
  </r>
  <r>
    <n v="1186"/>
    <x v="47"/>
    <x v="4"/>
    <x v="1"/>
    <n v="15000"/>
    <x v="0"/>
    <s v="Rahul"/>
    <x v="2"/>
    <s v="Valid Response"/>
  </r>
  <r>
    <n v="1187"/>
    <x v="48"/>
    <x v="0"/>
    <x v="1"/>
    <n v="21000"/>
    <x v="2"/>
    <s v="Karan"/>
    <x v="2"/>
    <s v="Valid Response"/>
  </r>
  <r>
    <n v="1189"/>
    <x v="50"/>
    <x v="2"/>
    <x v="0"/>
    <n v="52000"/>
    <x v="2"/>
    <s v="Anita"/>
    <x v="0"/>
    <s v="Valid Response"/>
  </r>
  <r>
    <n v="1190"/>
    <x v="97"/>
    <x v="4"/>
    <x v="2"/>
    <n v="15000"/>
    <x v="1"/>
    <s v="Amit"/>
    <x v="0"/>
    <s v="Valid Response"/>
  </r>
  <r>
    <n v="1192"/>
    <x v="98"/>
    <x v="1"/>
    <x v="1"/>
    <n v="20000"/>
    <x v="1"/>
    <s v="Anita"/>
    <x v="3"/>
    <s v="Valid Response"/>
  </r>
  <r>
    <n v="1193"/>
    <x v="51"/>
    <x v="1"/>
    <x v="2"/>
    <n v="21000"/>
    <x v="1"/>
    <s v="Ravi"/>
    <x v="3"/>
    <s v="Valid Response"/>
  </r>
  <r>
    <n v="1194"/>
    <x v="99"/>
    <x v="0"/>
    <x v="1"/>
    <n v="53000"/>
    <x v="2"/>
    <s v="Karan"/>
    <x v="0"/>
    <s v="Valid Response"/>
  </r>
  <r>
    <n v="1195"/>
    <x v="52"/>
    <x v="4"/>
    <x v="2"/>
    <n v="21000"/>
    <x v="2"/>
    <s v="Arjun"/>
    <x v="1"/>
    <s v="Valid Response"/>
  </r>
  <r>
    <n v="1197"/>
    <x v="53"/>
    <x v="2"/>
    <x v="2"/>
    <n v="15000"/>
    <x v="0"/>
    <s v="Anita"/>
    <x v="1"/>
    <s v="Valid Response"/>
  </r>
  <r>
    <n v="1198"/>
    <x v="54"/>
    <x v="1"/>
    <x v="1"/>
    <n v="48000"/>
    <x v="0"/>
    <s v="Arjun"/>
    <x v="2"/>
    <s v="Valid Response"/>
  </r>
  <r>
    <n v="1200"/>
    <x v="55"/>
    <x v="2"/>
    <x v="1"/>
    <n v="20000"/>
    <x v="0"/>
    <s v="Anita"/>
    <x v="0"/>
    <s v="Valid Response"/>
  </r>
  <r>
    <n v="1201"/>
    <x v="56"/>
    <x v="1"/>
    <x v="1"/>
    <n v="15000"/>
    <x v="1"/>
    <s v="Rahul"/>
    <x v="0"/>
    <s v="Valid Response"/>
  </r>
  <r>
    <n v="1202"/>
    <x v="57"/>
    <x v="2"/>
    <x v="0"/>
    <n v="21000"/>
    <x v="1"/>
    <s v="Arjun"/>
    <x v="1"/>
    <s v="Valid Response"/>
  </r>
  <r>
    <n v="1204"/>
    <x v="100"/>
    <x v="1"/>
    <x v="2"/>
    <n v="53000"/>
    <x v="0"/>
    <s v="Neha"/>
    <x v="2"/>
    <s v="Valid Response"/>
  </r>
  <r>
    <n v="1207"/>
    <x v="60"/>
    <x v="3"/>
    <x v="1"/>
    <n v="48000"/>
    <x v="1"/>
    <s v="Rahul"/>
    <x v="0"/>
    <s v="Valid Response"/>
  </r>
  <r>
    <n v="1208"/>
    <x v="61"/>
    <x v="2"/>
    <x v="2"/>
    <n v="15000"/>
    <x v="0"/>
    <s v="Neha"/>
    <x v="1"/>
    <s v="Valid Response"/>
  </r>
  <r>
    <n v="1209"/>
    <x v="62"/>
    <x v="0"/>
    <x v="0"/>
    <n v="21000"/>
    <x v="2"/>
    <s v="Rahul"/>
    <x v="0"/>
    <s v="Valid Response"/>
  </r>
  <r>
    <n v="1213"/>
    <x v="65"/>
    <x v="2"/>
    <x v="2"/>
    <n v="52000"/>
    <x v="2"/>
    <s v="Neha"/>
    <x v="3"/>
    <s v="Valid Response"/>
  </r>
  <r>
    <n v="1214"/>
    <x v="101"/>
    <x v="2"/>
    <x v="0"/>
    <n v="20000"/>
    <x v="2"/>
    <s v="Ravi"/>
    <x v="0"/>
    <s v="Valid Response"/>
  </r>
  <r>
    <n v="1215"/>
    <x v="66"/>
    <x v="2"/>
    <x v="0"/>
    <n v="52000"/>
    <x v="1"/>
    <s v="Arjun"/>
    <x v="1"/>
    <s v="Valid Response"/>
  </r>
  <r>
    <n v="1216"/>
    <x v="67"/>
    <x v="2"/>
    <x v="0"/>
    <n v="55000"/>
    <x v="0"/>
    <s v="Arjun"/>
    <x v="1"/>
    <s v="Valid Response"/>
  </r>
  <r>
    <n v="1218"/>
    <x v="69"/>
    <x v="1"/>
    <x v="2"/>
    <n v="20000"/>
    <x v="1"/>
    <s v="Neha"/>
    <x v="2"/>
    <s v="Valid Response"/>
  </r>
  <r>
    <n v="1219"/>
    <x v="70"/>
    <x v="0"/>
    <x v="2"/>
    <n v="53000"/>
    <x v="1"/>
    <s v="Rahul"/>
    <x v="2"/>
    <s v="Valid Response"/>
  </r>
  <r>
    <n v="1221"/>
    <x v="102"/>
    <x v="2"/>
    <x v="2"/>
    <n v="20000"/>
    <x v="1"/>
    <s v="Ravi"/>
    <x v="0"/>
    <s v="Valid Response"/>
  </r>
  <r>
    <n v="1222"/>
    <x v="103"/>
    <x v="4"/>
    <x v="2"/>
    <n v="15000"/>
    <x v="1"/>
    <s v="Karan"/>
    <x v="0"/>
    <s v="Valid Response"/>
  </r>
  <r>
    <n v="1223"/>
    <x v="104"/>
    <x v="1"/>
    <x v="0"/>
    <n v="55000"/>
    <x v="1"/>
    <s v="Rahul"/>
    <x v="3"/>
    <s v="Valid Response"/>
  </r>
  <r>
    <n v="1224"/>
    <x v="72"/>
    <x v="0"/>
    <x v="0"/>
    <n v="52000"/>
    <x v="1"/>
    <s v="Karan"/>
    <x v="1"/>
    <s v="Valid Response"/>
  </r>
  <r>
    <n v="1225"/>
    <x v="105"/>
    <x v="0"/>
    <x v="1"/>
    <n v="21000"/>
    <x v="0"/>
    <s v="Ravi"/>
    <x v="0"/>
    <s v="Valid Response"/>
  </r>
  <r>
    <n v="1226"/>
    <x v="73"/>
    <x v="1"/>
    <x v="1"/>
    <n v="15000"/>
    <x v="0"/>
    <s v="Anita"/>
    <x v="0"/>
    <s v="Valid Response"/>
  </r>
  <r>
    <n v="1227"/>
    <x v="74"/>
    <x v="2"/>
    <x v="1"/>
    <n v="55000"/>
    <x v="2"/>
    <s v="Karan"/>
    <x v="2"/>
    <s v="Valid Response"/>
  </r>
  <r>
    <n v="1228"/>
    <x v="106"/>
    <x v="3"/>
    <x v="2"/>
    <n v="21000"/>
    <x v="1"/>
    <s v="Arjun"/>
    <x v="3"/>
    <s v="Valid Response"/>
  </r>
  <r>
    <n v="1229"/>
    <x v="75"/>
    <x v="0"/>
    <x v="2"/>
    <n v="55000"/>
    <x v="0"/>
    <s v="Anita"/>
    <x v="1"/>
    <s v="Valid Response"/>
  </r>
  <r>
    <n v="1232"/>
    <x v="77"/>
    <x v="2"/>
    <x v="2"/>
    <n v="48000"/>
    <x v="1"/>
    <s v="Amit"/>
    <x v="1"/>
    <s v="Valid Response"/>
  </r>
  <r>
    <n v="1233"/>
    <x v="78"/>
    <x v="4"/>
    <x v="2"/>
    <n v="52000"/>
    <x v="1"/>
    <s v="Amit"/>
    <x v="2"/>
    <s v="Valid Response"/>
  </r>
  <r>
    <n v="1235"/>
    <x v="107"/>
    <x v="3"/>
    <x v="1"/>
    <n v="53000"/>
    <x v="1"/>
    <s v="Arjun"/>
    <x v="0"/>
    <s v="Valid Response"/>
  </r>
  <r>
    <n v="1236"/>
    <x v="79"/>
    <x v="1"/>
    <x v="2"/>
    <n v="53000"/>
    <x v="2"/>
    <s v="Pooja"/>
    <x v="0"/>
    <s v="Valid Response"/>
  </r>
  <r>
    <n v="1239"/>
    <x v="80"/>
    <x v="2"/>
    <x v="1"/>
    <n v="48000"/>
    <x v="0"/>
    <s v="Rahul"/>
    <x v="3"/>
    <s v="Valid Response"/>
  </r>
  <r>
    <n v="1240"/>
    <x v="81"/>
    <x v="1"/>
    <x v="1"/>
    <n v="53000"/>
    <x v="1"/>
    <s v="Anita"/>
    <x v="2"/>
    <s v="Valid Response"/>
  </r>
  <r>
    <n v="1241"/>
    <x v="0"/>
    <x v="4"/>
    <x v="2"/>
    <n v="55000"/>
    <x v="1"/>
    <s v="Anita"/>
    <x v="3"/>
    <s v="Valid Response"/>
  </r>
  <r>
    <n v="1243"/>
    <x v="83"/>
    <x v="0"/>
    <x v="1"/>
    <n v="52000"/>
    <x v="1"/>
    <s v="Neha"/>
    <x v="0"/>
    <s v="Valid Response"/>
  </r>
  <r>
    <n v="1244"/>
    <x v="84"/>
    <x v="2"/>
    <x v="2"/>
    <n v="15000"/>
    <x v="1"/>
    <s v="Karan"/>
    <x v="2"/>
    <s v="Valid Response"/>
  </r>
  <r>
    <n v="1246"/>
    <x v="85"/>
    <x v="4"/>
    <x v="1"/>
    <n v="48000"/>
    <x v="1"/>
    <s v="Ravi"/>
    <x v="3"/>
    <s v="Valid Response"/>
  </r>
  <r>
    <n v="1247"/>
    <x v="2"/>
    <x v="4"/>
    <x v="1"/>
    <n v="55000"/>
    <x v="0"/>
    <s v="Amit"/>
    <x v="3"/>
    <s v="Valid Response"/>
  </r>
  <r>
    <n v="1248"/>
    <x v="86"/>
    <x v="3"/>
    <x v="1"/>
    <n v="15000"/>
    <x v="0"/>
    <s v="Karan"/>
    <x v="0"/>
    <s v="Valid Response"/>
  </r>
  <r>
    <n v="1250"/>
    <x v="4"/>
    <x v="2"/>
    <x v="2"/>
    <n v="52000"/>
    <x v="0"/>
    <s v="Rahul"/>
    <x v="0"/>
    <s v="Valid Response"/>
  </r>
  <r>
    <n v="1251"/>
    <x v="87"/>
    <x v="1"/>
    <x v="1"/>
    <n v="55000"/>
    <x v="0"/>
    <s v="Karan"/>
    <x v="1"/>
    <s v="Valid Response"/>
  </r>
  <r>
    <n v="1252"/>
    <x v="5"/>
    <x v="1"/>
    <x v="2"/>
    <n v="15000"/>
    <x v="1"/>
    <s v="Amit"/>
    <x v="1"/>
    <s v="Valid Response"/>
  </r>
  <r>
    <n v="1253"/>
    <x v="6"/>
    <x v="1"/>
    <x v="1"/>
    <n v="15000"/>
    <x v="2"/>
    <s v="Pooja"/>
    <x v="2"/>
    <s v="Valid Response"/>
  </r>
  <r>
    <n v="1254"/>
    <x v="7"/>
    <x v="1"/>
    <x v="0"/>
    <n v="53000"/>
    <x v="0"/>
    <s v="Pooja"/>
    <x v="0"/>
    <s v="Valid Response"/>
  </r>
  <r>
    <n v="1255"/>
    <x v="8"/>
    <x v="1"/>
    <x v="0"/>
    <n v="21000"/>
    <x v="1"/>
    <s v="Arjun"/>
    <x v="2"/>
    <s v="Valid Response"/>
  </r>
  <r>
    <n v="1257"/>
    <x v="10"/>
    <x v="2"/>
    <x v="1"/>
    <n v="55000"/>
    <x v="2"/>
    <s v="Neha"/>
    <x v="0"/>
    <s v="Valid Response"/>
  </r>
  <r>
    <n v="1258"/>
    <x v="11"/>
    <x v="4"/>
    <x v="2"/>
    <n v="53000"/>
    <x v="0"/>
    <s v="Rahul"/>
    <x v="1"/>
    <s v="Valid Response"/>
  </r>
  <r>
    <n v="1260"/>
    <x v="88"/>
    <x v="2"/>
    <x v="2"/>
    <n v="53000"/>
    <x v="0"/>
    <s v="Rahul"/>
    <x v="2"/>
    <s v="Valid Response"/>
  </r>
  <r>
    <n v="1263"/>
    <x v="14"/>
    <x v="2"/>
    <x v="2"/>
    <n v="53000"/>
    <x v="0"/>
    <s v="Pooja"/>
    <x v="2"/>
    <s v="Valid Response"/>
  </r>
  <r>
    <n v="1264"/>
    <x v="15"/>
    <x v="1"/>
    <x v="2"/>
    <n v="53000"/>
    <x v="1"/>
    <s v="Amit"/>
    <x v="0"/>
    <s v="Valid Response"/>
  </r>
  <r>
    <n v="1265"/>
    <x v="16"/>
    <x v="4"/>
    <x v="1"/>
    <n v="48000"/>
    <x v="2"/>
    <s v="Arjun"/>
    <x v="1"/>
    <s v="Valid Response"/>
  </r>
  <r>
    <n v="1266"/>
    <x v="17"/>
    <x v="2"/>
    <x v="0"/>
    <n v="21000"/>
    <x v="0"/>
    <s v="Pooja"/>
    <x v="2"/>
    <s v="Valid Response"/>
  </r>
  <r>
    <n v="1267"/>
    <x v="90"/>
    <x v="1"/>
    <x v="0"/>
    <n v="55000"/>
    <x v="2"/>
    <s v="Amit"/>
    <x v="2"/>
    <s v="Valid Response"/>
  </r>
  <r>
    <n v="1268"/>
    <x v="18"/>
    <x v="2"/>
    <x v="2"/>
    <n v="15000"/>
    <x v="2"/>
    <s v="Ravi"/>
    <x v="3"/>
    <s v="Valid Response"/>
  </r>
  <r>
    <n v="1269"/>
    <x v="19"/>
    <x v="1"/>
    <x v="2"/>
    <n v="15000"/>
    <x v="2"/>
    <s v="Pooja"/>
    <x v="0"/>
    <s v="Valid Response"/>
  </r>
  <r>
    <n v="1270"/>
    <x v="20"/>
    <x v="4"/>
    <x v="1"/>
    <n v="55000"/>
    <x v="2"/>
    <s v="Karan"/>
    <x v="0"/>
    <s v="Valid Response"/>
  </r>
  <r>
    <n v="1271"/>
    <x v="21"/>
    <x v="1"/>
    <x v="2"/>
    <n v="20000"/>
    <x v="2"/>
    <s v="Amit"/>
    <x v="3"/>
    <s v="Valid Response"/>
  </r>
  <r>
    <n v="1273"/>
    <x v="22"/>
    <x v="4"/>
    <x v="2"/>
    <n v="15000"/>
    <x v="2"/>
    <s v="Neha"/>
    <x v="1"/>
    <s v="Valid Response"/>
  </r>
  <r>
    <n v="1274"/>
    <x v="23"/>
    <x v="2"/>
    <x v="1"/>
    <n v="55000"/>
    <x v="1"/>
    <s v="Arjun"/>
    <x v="1"/>
    <s v="Valid Response"/>
  </r>
  <r>
    <n v="1276"/>
    <x v="24"/>
    <x v="1"/>
    <x v="2"/>
    <n v="20000"/>
    <x v="2"/>
    <s v="Anita"/>
    <x v="3"/>
    <s v="Valid Response"/>
  </r>
  <r>
    <n v="1277"/>
    <x v="25"/>
    <x v="2"/>
    <x v="2"/>
    <n v="20000"/>
    <x v="2"/>
    <s v="Karan"/>
    <x v="2"/>
    <s v="Valid Response"/>
  </r>
  <r>
    <n v="1278"/>
    <x v="26"/>
    <x v="1"/>
    <x v="1"/>
    <n v="52000"/>
    <x v="2"/>
    <s v="Neha"/>
    <x v="3"/>
    <s v="Valid Response"/>
  </r>
  <r>
    <n v="1279"/>
    <x v="27"/>
    <x v="4"/>
    <x v="1"/>
    <n v="20000"/>
    <x v="1"/>
    <s v="Rahul"/>
    <x v="3"/>
    <s v="Valid Response"/>
  </r>
  <r>
    <n v="1280"/>
    <x v="92"/>
    <x v="3"/>
    <x v="2"/>
    <n v="53000"/>
    <x v="0"/>
    <s v="Pooja"/>
    <x v="0"/>
    <s v="Valid Response"/>
  </r>
  <r>
    <n v="1281"/>
    <x v="28"/>
    <x v="2"/>
    <x v="1"/>
    <n v="53000"/>
    <x v="1"/>
    <s v="Rahul"/>
    <x v="2"/>
    <s v="Valid Response"/>
  </r>
  <r>
    <n v="1284"/>
    <x v="31"/>
    <x v="2"/>
    <x v="2"/>
    <n v="20000"/>
    <x v="2"/>
    <s v="Amit"/>
    <x v="0"/>
    <s v="Valid Response"/>
  </r>
  <r>
    <n v="1285"/>
    <x v="32"/>
    <x v="1"/>
    <x v="0"/>
    <n v="21000"/>
    <x v="2"/>
    <s v="Karan"/>
    <x v="3"/>
    <s v="Valid Response"/>
  </r>
  <r>
    <n v="1286"/>
    <x v="33"/>
    <x v="2"/>
    <x v="2"/>
    <n v="20000"/>
    <x v="2"/>
    <s v="Anita"/>
    <x v="0"/>
    <s v="Valid Response"/>
  </r>
  <r>
    <n v="1287"/>
    <x v="34"/>
    <x v="3"/>
    <x v="2"/>
    <n v="20000"/>
    <x v="2"/>
    <s v="Anita"/>
    <x v="3"/>
    <s v="Valid Response"/>
  </r>
  <r>
    <n v="1288"/>
    <x v="108"/>
    <x v="1"/>
    <x v="2"/>
    <n v="21000"/>
    <x v="1"/>
    <s v="Pooja"/>
    <x v="3"/>
    <s v="Valid Response"/>
  </r>
  <r>
    <n v="1289"/>
    <x v="93"/>
    <x v="1"/>
    <x v="2"/>
    <n v="15000"/>
    <x v="1"/>
    <s v="Arjun"/>
    <x v="0"/>
    <s v="Valid Response"/>
  </r>
  <r>
    <n v="1291"/>
    <x v="109"/>
    <x v="4"/>
    <x v="1"/>
    <n v="53000"/>
    <x v="2"/>
    <s v="Ravi"/>
    <x v="0"/>
    <s v="Valid Response"/>
  </r>
  <r>
    <n v="1292"/>
    <x v="36"/>
    <x v="1"/>
    <x v="2"/>
    <n v="48000"/>
    <x v="0"/>
    <s v="Amit"/>
    <x v="0"/>
    <s v="Valid Response"/>
  </r>
  <r>
    <n v="1294"/>
    <x v="38"/>
    <x v="1"/>
    <x v="1"/>
    <n v="48000"/>
    <x v="1"/>
    <s v="Karan"/>
    <x v="3"/>
    <s v="Valid Response"/>
  </r>
  <r>
    <n v="1295"/>
    <x v="39"/>
    <x v="4"/>
    <x v="2"/>
    <n v="21000"/>
    <x v="2"/>
    <s v="Rahul"/>
    <x v="2"/>
    <s v="Valid Response"/>
  </r>
  <r>
    <n v="1296"/>
    <x v="40"/>
    <x v="0"/>
    <x v="2"/>
    <n v="15000"/>
    <x v="2"/>
    <s v="Amit"/>
    <x v="2"/>
    <s v="Valid Response"/>
  </r>
  <r>
    <n v="1299"/>
    <x v="43"/>
    <x v="4"/>
    <x v="2"/>
    <n v="21000"/>
    <x v="1"/>
    <s v="Karan"/>
    <x v="0"/>
    <s v="Valid Response"/>
  </r>
  <r>
    <n v="1300"/>
    <x v="94"/>
    <x v="4"/>
    <x v="0"/>
    <n v="15000"/>
    <x v="0"/>
    <s v="Ravi"/>
    <x v="2"/>
    <s v="Valid Response"/>
  </r>
  <r>
    <n v="1301"/>
    <x v="44"/>
    <x v="2"/>
    <x v="1"/>
    <n v="53000"/>
    <x v="2"/>
    <s v="Anita"/>
    <x v="2"/>
    <s v="Valid Response"/>
  </r>
  <r>
    <n v="1303"/>
    <x v="95"/>
    <x v="0"/>
    <x v="2"/>
    <n v="52000"/>
    <x v="1"/>
    <s v="Neha"/>
    <x v="3"/>
    <s v="Valid Response"/>
  </r>
  <r>
    <n v="1305"/>
    <x v="96"/>
    <x v="1"/>
    <x v="1"/>
    <n v="21000"/>
    <x v="2"/>
    <s v="Pooja"/>
    <x v="1"/>
    <s v="Valid Response"/>
  </r>
  <r>
    <n v="1306"/>
    <x v="47"/>
    <x v="1"/>
    <x v="1"/>
    <n v="15000"/>
    <x v="1"/>
    <s v="Amit"/>
    <x v="2"/>
    <s v="Valid Response"/>
  </r>
  <r>
    <n v="1311"/>
    <x v="110"/>
    <x v="2"/>
    <x v="2"/>
    <n v="21000"/>
    <x v="0"/>
    <s v="Ravi"/>
    <x v="2"/>
    <s v="Valid Response"/>
  </r>
  <r>
    <n v="1312"/>
    <x v="98"/>
    <x v="2"/>
    <x v="1"/>
    <n v="20000"/>
    <x v="2"/>
    <s v="Anita"/>
    <x v="1"/>
    <s v="Valid Response"/>
  </r>
  <r>
    <n v="1313"/>
    <x v="51"/>
    <x v="3"/>
    <x v="2"/>
    <n v="48000"/>
    <x v="0"/>
    <s v="Pooja"/>
    <x v="0"/>
    <s v="Valid Response"/>
  </r>
  <r>
    <n v="1314"/>
    <x v="99"/>
    <x v="2"/>
    <x v="1"/>
    <n v="21000"/>
    <x v="1"/>
    <s v="Amit"/>
    <x v="1"/>
    <s v="Valid Response"/>
  </r>
  <r>
    <n v="1315"/>
    <x v="52"/>
    <x v="4"/>
    <x v="1"/>
    <n v="20000"/>
    <x v="0"/>
    <s v="Pooja"/>
    <x v="2"/>
    <s v="Valid Response"/>
  </r>
  <r>
    <n v="1316"/>
    <x v="111"/>
    <x v="2"/>
    <x v="1"/>
    <n v="53000"/>
    <x v="0"/>
    <s v="Neha"/>
    <x v="3"/>
    <s v="Valid Response"/>
  </r>
  <r>
    <n v="1317"/>
    <x v="53"/>
    <x v="2"/>
    <x v="0"/>
    <n v="48000"/>
    <x v="2"/>
    <s v="Arjun"/>
    <x v="2"/>
    <s v="Valid Response"/>
  </r>
  <r>
    <n v="1321"/>
    <x v="56"/>
    <x v="4"/>
    <x v="1"/>
    <n v="48000"/>
    <x v="1"/>
    <s v="Rahul"/>
    <x v="1"/>
    <s v="Valid Response"/>
  </r>
  <r>
    <n v="1322"/>
    <x v="57"/>
    <x v="0"/>
    <x v="1"/>
    <n v="21000"/>
    <x v="2"/>
    <s v="Anita"/>
    <x v="0"/>
    <s v="Valid Response"/>
  </r>
  <r>
    <n v="1324"/>
    <x v="100"/>
    <x v="2"/>
    <x v="2"/>
    <n v="15000"/>
    <x v="2"/>
    <s v="Neha"/>
    <x v="2"/>
    <s v="Valid Response"/>
  </r>
  <r>
    <n v="1325"/>
    <x v="58"/>
    <x v="2"/>
    <x v="1"/>
    <n v="55000"/>
    <x v="1"/>
    <s v="Anita"/>
    <x v="1"/>
    <s v="Valid Response"/>
  </r>
  <r>
    <n v="1327"/>
    <x v="60"/>
    <x v="0"/>
    <x v="1"/>
    <n v="53000"/>
    <x v="0"/>
    <s v="Anita"/>
    <x v="2"/>
    <s v="Valid Response"/>
  </r>
  <r>
    <n v="1328"/>
    <x v="61"/>
    <x v="2"/>
    <x v="2"/>
    <n v="48000"/>
    <x v="1"/>
    <s v="Amit"/>
    <x v="1"/>
    <s v="Valid Response"/>
  </r>
  <r>
    <n v="1332"/>
    <x v="64"/>
    <x v="3"/>
    <x v="2"/>
    <n v="55000"/>
    <x v="1"/>
    <s v="Rahul"/>
    <x v="3"/>
    <s v="Valid Response"/>
  </r>
  <r>
    <n v="1334"/>
    <x v="101"/>
    <x v="3"/>
    <x v="1"/>
    <n v="48000"/>
    <x v="0"/>
    <s v="Arjun"/>
    <x v="1"/>
    <s v="Valid Response"/>
  </r>
  <r>
    <n v="1335"/>
    <x v="66"/>
    <x v="2"/>
    <x v="2"/>
    <n v="53000"/>
    <x v="0"/>
    <s v="Anita"/>
    <x v="0"/>
    <s v="Valid Response"/>
  </r>
  <r>
    <n v="1336"/>
    <x v="67"/>
    <x v="1"/>
    <x v="0"/>
    <n v="15000"/>
    <x v="1"/>
    <s v="Ravi"/>
    <x v="0"/>
    <s v="Valid Response"/>
  </r>
  <r>
    <n v="1338"/>
    <x v="69"/>
    <x v="0"/>
    <x v="2"/>
    <n v="55000"/>
    <x v="2"/>
    <s v="Arjun"/>
    <x v="2"/>
    <s v="Valid Response"/>
  </r>
  <r>
    <n v="1340"/>
    <x v="71"/>
    <x v="1"/>
    <x v="2"/>
    <n v="20000"/>
    <x v="2"/>
    <s v="Arjun"/>
    <x v="0"/>
    <s v="Valid Response"/>
  </r>
  <r>
    <n v="1341"/>
    <x v="102"/>
    <x v="2"/>
    <x v="1"/>
    <n v="15000"/>
    <x v="0"/>
    <s v="Neha"/>
    <x v="0"/>
    <s v="Valid Response"/>
  </r>
  <r>
    <n v="1343"/>
    <x v="104"/>
    <x v="1"/>
    <x v="1"/>
    <n v="52000"/>
    <x v="1"/>
    <s v="Karan"/>
    <x v="2"/>
    <s v="Valid Response"/>
  </r>
  <r>
    <n v="1344"/>
    <x v="72"/>
    <x v="3"/>
    <x v="2"/>
    <n v="55000"/>
    <x v="0"/>
    <s v="Arjun"/>
    <x v="2"/>
    <s v="Valid Response"/>
  </r>
  <r>
    <n v="1346"/>
    <x v="73"/>
    <x v="4"/>
    <x v="1"/>
    <n v="20000"/>
    <x v="2"/>
    <s v="Neha"/>
    <x v="1"/>
    <s v="Valid Response"/>
  </r>
  <r>
    <n v="1347"/>
    <x v="74"/>
    <x v="2"/>
    <x v="2"/>
    <n v="20000"/>
    <x v="1"/>
    <s v="Neha"/>
    <x v="0"/>
    <s v="Valid Response"/>
  </r>
  <r>
    <n v="1349"/>
    <x v="75"/>
    <x v="0"/>
    <x v="0"/>
    <n v="20000"/>
    <x v="2"/>
    <s v="Amit"/>
    <x v="3"/>
    <s v="Valid Response"/>
  </r>
  <r>
    <n v="1350"/>
    <x v="112"/>
    <x v="1"/>
    <x v="2"/>
    <n v="21000"/>
    <x v="2"/>
    <s v="Amit"/>
    <x v="2"/>
    <s v="Valid Response"/>
  </r>
  <r>
    <n v="1351"/>
    <x v="76"/>
    <x v="1"/>
    <x v="1"/>
    <n v="20000"/>
    <x v="1"/>
    <s v="Neha"/>
    <x v="0"/>
    <s v="Valid Response"/>
  </r>
  <r>
    <n v="1352"/>
    <x v="77"/>
    <x v="3"/>
    <x v="2"/>
    <n v="15000"/>
    <x v="0"/>
    <s v="Amit"/>
    <x v="2"/>
    <s v="Valid Response"/>
  </r>
  <r>
    <n v="1354"/>
    <x v="113"/>
    <x v="1"/>
    <x v="1"/>
    <n v="21000"/>
    <x v="2"/>
    <s v="Anita"/>
    <x v="2"/>
    <s v="Valid Response"/>
  </r>
  <r>
    <n v="1355"/>
    <x v="107"/>
    <x v="2"/>
    <x v="1"/>
    <n v="15000"/>
    <x v="2"/>
    <s v="Ravi"/>
    <x v="0"/>
    <s v="Valid Response"/>
  </r>
  <r>
    <n v="1356"/>
    <x v="79"/>
    <x v="2"/>
    <x v="0"/>
    <n v="15000"/>
    <x v="0"/>
    <s v="Amit"/>
    <x v="3"/>
    <s v="Valid Response"/>
  </r>
  <r>
    <n v="1357"/>
    <x v="114"/>
    <x v="3"/>
    <x v="2"/>
    <n v="52000"/>
    <x v="1"/>
    <s v="Amit"/>
    <x v="2"/>
    <s v="Valid Response"/>
  </r>
  <r>
    <n v="1358"/>
    <x v="115"/>
    <x v="3"/>
    <x v="1"/>
    <n v="55000"/>
    <x v="1"/>
    <s v="Karan"/>
    <x v="0"/>
    <s v="Valid Response"/>
  </r>
  <r>
    <n v="1359"/>
    <x v="80"/>
    <x v="4"/>
    <x v="0"/>
    <n v="53000"/>
    <x v="1"/>
    <s v="Ravi"/>
    <x v="0"/>
    <s v="Valid Response"/>
  </r>
  <r>
    <n v="1361"/>
    <x v="0"/>
    <x v="4"/>
    <x v="2"/>
    <n v="53000"/>
    <x v="0"/>
    <s v="Neha"/>
    <x v="0"/>
    <s v="Valid Response"/>
  </r>
  <r>
    <n v="1363"/>
    <x v="83"/>
    <x v="0"/>
    <x v="1"/>
    <n v="53000"/>
    <x v="0"/>
    <s v="Pooja"/>
    <x v="3"/>
    <s v="Valid Response"/>
  </r>
  <r>
    <n v="1366"/>
    <x v="85"/>
    <x v="0"/>
    <x v="1"/>
    <n v="48000"/>
    <x v="1"/>
    <s v="Arjun"/>
    <x v="2"/>
    <s v="Valid Response"/>
  </r>
  <r>
    <n v="1367"/>
    <x v="2"/>
    <x v="1"/>
    <x v="2"/>
    <n v="15000"/>
    <x v="1"/>
    <s v="Rahul"/>
    <x v="3"/>
    <s v="Valid Response"/>
  </r>
  <r>
    <n v="1369"/>
    <x v="3"/>
    <x v="1"/>
    <x v="1"/>
    <n v="21000"/>
    <x v="2"/>
    <s v="Amit"/>
    <x v="2"/>
    <s v="Valid Response"/>
  </r>
  <r>
    <n v="1370"/>
    <x v="4"/>
    <x v="4"/>
    <x v="2"/>
    <n v="53000"/>
    <x v="0"/>
    <s v="Pooja"/>
    <x v="1"/>
    <s v="Valid Response"/>
  </r>
  <r>
    <n v="1371"/>
    <x v="87"/>
    <x v="2"/>
    <x v="2"/>
    <n v="21000"/>
    <x v="2"/>
    <s v="Neha"/>
    <x v="0"/>
    <s v="Valid Response"/>
  </r>
  <r>
    <n v="1372"/>
    <x v="5"/>
    <x v="3"/>
    <x v="2"/>
    <n v="15000"/>
    <x v="0"/>
    <s v="Karan"/>
    <x v="2"/>
    <s v="Valid Response"/>
  </r>
  <r>
    <n v="1374"/>
    <x v="7"/>
    <x v="2"/>
    <x v="0"/>
    <n v="21000"/>
    <x v="0"/>
    <s v="Amit"/>
    <x v="2"/>
    <s v="Valid Response"/>
  </r>
  <r>
    <n v="1377"/>
    <x v="10"/>
    <x v="0"/>
    <x v="1"/>
    <n v="52000"/>
    <x v="1"/>
    <s v="Karan"/>
    <x v="3"/>
    <s v="Valid Response"/>
  </r>
  <r>
    <n v="1378"/>
    <x v="11"/>
    <x v="0"/>
    <x v="1"/>
    <n v="21000"/>
    <x v="0"/>
    <s v="Rahul"/>
    <x v="0"/>
    <s v="Valid Response"/>
  </r>
  <r>
    <n v="1379"/>
    <x v="12"/>
    <x v="4"/>
    <x v="2"/>
    <n v="48000"/>
    <x v="0"/>
    <s v="Ravi"/>
    <x v="1"/>
    <s v="Valid Response"/>
  </r>
  <r>
    <n v="1381"/>
    <x v="13"/>
    <x v="1"/>
    <x v="1"/>
    <n v="21000"/>
    <x v="1"/>
    <s v="Rahul"/>
    <x v="3"/>
    <s v="Valid Response"/>
  </r>
  <r>
    <n v="1383"/>
    <x v="14"/>
    <x v="2"/>
    <x v="2"/>
    <n v="15000"/>
    <x v="2"/>
    <s v="Pooja"/>
    <x v="0"/>
    <s v="Valid Response"/>
  </r>
  <r>
    <n v="1384"/>
    <x v="15"/>
    <x v="3"/>
    <x v="1"/>
    <n v="15000"/>
    <x v="2"/>
    <s v="Ravi"/>
    <x v="2"/>
    <s v="Valid Response"/>
  </r>
  <r>
    <n v="1386"/>
    <x v="17"/>
    <x v="1"/>
    <x v="2"/>
    <n v="48000"/>
    <x v="0"/>
    <s v="Amit"/>
    <x v="2"/>
    <s v="Valid Response"/>
  </r>
  <r>
    <n v="1387"/>
    <x v="90"/>
    <x v="1"/>
    <x v="2"/>
    <n v="15000"/>
    <x v="0"/>
    <s v="Ravi"/>
    <x v="1"/>
    <s v="Valid Response"/>
  </r>
  <r>
    <n v="1388"/>
    <x v="18"/>
    <x v="3"/>
    <x v="2"/>
    <n v="55000"/>
    <x v="0"/>
    <s v="Ravi"/>
    <x v="2"/>
    <s v="Valid Response"/>
  </r>
  <r>
    <n v="1389"/>
    <x v="19"/>
    <x v="0"/>
    <x v="0"/>
    <n v="20000"/>
    <x v="0"/>
    <s v="Ravi"/>
    <x v="2"/>
    <s v="Valid Response"/>
  </r>
  <r>
    <n v="1391"/>
    <x v="21"/>
    <x v="1"/>
    <x v="2"/>
    <n v="48000"/>
    <x v="0"/>
    <s v="Ravi"/>
    <x v="1"/>
    <s v="Valid Response"/>
  </r>
  <r>
    <n v="1393"/>
    <x v="22"/>
    <x v="1"/>
    <x v="0"/>
    <n v="48000"/>
    <x v="0"/>
    <s v="Pooja"/>
    <x v="1"/>
    <s v="Valid Response"/>
  </r>
  <r>
    <n v="1395"/>
    <x v="91"/>
    <x v="1"/>
    <x v="2"/>
    <n v="55000"/>
    <x v="1"/>
    <s v="Neha"/>
    <x v="1"/>
    <s v="Valid Response"/>
  </r>
  <r>
    <n v="1396"/>
    <x v="24"/>
    <x v="0"/>
    <x v="2"/>
    <n v="53000"/>
    <x v="1"/>
    <s v="Ravi"/>
    <x v="0"/>
    <s v="Valid Response"/>
  </r>
  <r>
    <n v="1397"/>
    <x v="25"/>
    <x v="3"/>
    <x v="2"/>
    <n v="55000"/>
    <x v="2"/>
    <s v="Neha"/>
    <x v="0"/>
    <s v="Valid Response"/>
  </r>
  <r>
    <n v="1401"/>
    <x v="28"/>
    <x v="1"/>
    <x v="0"/>
    <n v="53000"/>
    <x v="1"/>
    <s v="Amit"/>
    <x v="2"/>
    <s v="Valid Response"/>
  </r>
  <r>
    <n v="1402"/>
    <x v="29"/>
    <x v="2"/>
    <x v="2"/>
    <n v="48000"/>
    <x v="1"/>
    <s v="Amit"/>
    <x v="2"/>
    <s v="Valid Response"/>
  </r>
  <r>
    <n v="1403"/>
    <x v="30"/>
    <x v="0"/>
    <x v="2"/>
    <n v="53000"/>
    <x v="1"/>
    <s v="Arjun"/>
    <x v="2"/>
    <s v="Valid Response"/>
  </r>
  <r>
    <n v="1404"/>
    <x v="31"/>
    <x v="2"/>
    <x v="2"/>
    <n v="52000"/>
    <x v="1"/>
    <s v="Neha"/>
    <x v="3"/>
    <s v="Valid Response"/>
  </r>
  <r>
    <n v="1408"/>
    <x v="108"/>
    <x v="2"/>
    <x v="2"/>
    <n v="21000"/>
    <x v="2"/>
    <s v="Pooja"/>
    <x v="2"/>
    <s v="Valid Response"/>
  </r>
  <r>
    <n v="1412"/>
    <x v="36"/>
    <x v="1"/>
    <x v="1"/>
    <n v="52000"/>
    <x v="1"/>
    <s v="Neha"/>
    <x v="0"/>
    <s v="Valid Response"/>
  </r>
  <r>
    <n v="1413"/>
    <x v="37"/>
    <x v="1"/>
    <x v="0"/>
    <n v="55000"/>
    <x v="2"/>
    <s v="Rahul"/>
    <x v="2"/>
    <s v="Valid Response"/>
  </r>
  <r>
    <n v="1414"/>
    <x v="38"/>
    <x v="2"/>
    <x v="0"/>
    <n v="53000"/>
    <x v="0"/>
    <s v="Pooja"/>
    <x v="0"/>
    <s v="Valid Response"/>
  </r>
  <r>
    <n v="1415"/>
    <x v="39"/>
    <x v="2"/>
    <x v="0"/>
    <n v="20000"/>
    <x v="2"/>
    <s v="Amit"/>
    <x v="1"/>
    <s v="Valid Response"/>
  </r>
  <r>
    <n v="1416"/>
    <x v="40"/>
    <x v="3"/>
    <x v="0"/>
    <n v="52000"/>
    <x v="2"/>
    <s v="Neha"/>
    <x v="0"/>
    <s v="Valid Response"/>
  </r>
  <r>
    <n v="1417"/>
    <x v="41"/>
    <x v="4"/>
    <x v="2"/>
    <n v="21000"/>
    <x v="2"/>
    <s v="Rahul"/>
    <x v="0"/>
    <s v="Valid Response"/>
  </r>
  <r>
    <n v="1418"/>
    <x v="42"/>
    <x v="2"/>
    <x v="1"/>
    <n v="21000"/>
    <x v="2"/>
    <s v="Neha"/>
    <x v="0"/>
    <s v="Valid Response"/>
  </r>
  <r>
    <n v="1421"/>
    <x v="44"/>
    <x v="0"/>
    <x v="1"/>
    <n v="52000"/>
    <x v="0"/>
    <s v="Arjun"/>
    <x v="0"/>
    <s v="Valid Response"/>
  </r>
  <r>
    <n v="1422"/>
    <x v="45"/>
    <x v="3"/>
    <x v="1"/>
    <n v="55000"/>
    <x v="1"/>
    <s v="Neha"/>
    <x v="3"/>
    <s v="Valid Response"/>
  </r>
  <r>
    <n v="1423"/>
    <x v="95"/>
    <x v="1"/>
    <x v="2"/>
    <n v="52000"/>
    <x v="2"/>
    <s v="Rahul"/>
    <x v="1"/>
    <s v="Valid Response"/>
  </r>
  <r>
    <n v="1424"/>
    <x v="46"/>
    <x v="1"/>
    <x v="1"/>
    <n v="20000"/>
    <x v="2"/>
    <s v="Amit"/>
    <x v="0"/>
    <s v="Valid Response"/>
  </r>
  <r>
    <n v="1425"/>
    <x v="96"/>
    <x v="1"/>
    <x v="2"/>
    <n v="21000"/>
    <x v="1"/>
    <s v="Arjun"/>
    <x v="0"/>
    <s v="Valid Response"/>
  </r>
  <r>
    <n v="1427"/>
    <x v="48"/>
    <x v="0"/>
    <x v="1"/>
    <n v="48000"/>
    <x v="1"/>
    <s v="Neha"/>
    <x v="2"/>
    <s v="Valid Response"/>
  </r>
  <r>
    <n v="1428"/>
    <x v="49"/>
    <x v="0"/>
    <x v="0"/>
    <n v="21000"/>
    <x v="1"/>
    <s v="Arjun"/>
    <x v="2"/>
    <s v="Valid Response"/>
  </r>
  <r>
    <n v="1432"/>
    <x v="98"/>
    <x v="3"/>
    <x v="2"/>
    <n v="15000"/>
    <x v="0"/>
    <s v="Ravi"/>
    <x v="2"/>
    <s v="Valid Response"/>
  </r>
  <r>
    <n v="1433"/>
    <x v="51"/>
    <x v="0"/>
    <x v="2"/>
    <n v="21000"/>
    <x v="1"/>
    <s v="Neha"/>
    <x v="0"/>
    <s v="Valid Response"/>
  </r>
  <r>
    <n v="1434"/>
    <x v="99"/>
    <x v="3"/>
    <x v="0"/>
    <n v="52000"/>
    <x v="1"/>
    <s v="Ravi"/>
    <x v="1"/>
    <s v="Valid Response"/>
  </r>
  <r>
    <n v="1435"/>
    <x v="52"/>
    <x v="3"/>
    <x v="1"/>
    <n v="20000"/>
    <x v="0"/>
    <s v="Anita"/>
    <x v="2"/>
    <s v="Valid Response"/>
  </r>
  <r>
    <n v="1436"/>
    <x v="111"/>
    <x v="4"/>
    <x v="2"/>
    <n v="15000"/>
    <x v="0"/>
    <s v="Neha"/>
    <x v="0"/>
    <s v="Valid Response"/>
  </r>
  <r>
    <n v="1437"/>
    <x v="53"/>
    <x v="2"/>
    <x v="1"/>
    <n v="21000"/>
    <x v="0"/>
    <s v="Ravi"/>
    <x v="2"/>
    <s v="Valid Response"/>
  </r>
  <r>
    <n v="1441"/>
    <x v="56"/>
    <x v="1"/>
    <x v="2"/>
    <n v="53000"/>
    <x v="1"/>
    <s v="Amit"/>
    <x v="0"/>
    <s v="Valid Response"/>
  </r>
  <r>
    <n v="1442"/>
    <x v="57"/>
    <x v="3"/>
    <x v="0"/>
    <n v="55000"/>
    <x v="2"/>
    <s v="Karan"/>
    <x v="0"/>
    <s v="Valid Response"/>
  </r>
  <r>
    <n v="1443"/>
    <x v="116"/>
    <x v="0"/>
    <x v="0"/>
    <n v="52000"/>
    <x v="2"/>
    <s v="Anita"/>
    <x v="3"/>
    <s v="Valid Response"/>
  </r>
  <r>
    <n v="1444"/>
    <x v="100"/>
    <x v="0"/>
    <x v="2"/>
    <n v="53000"/>
    <x v="1"/>
    <s v="Arjun"/>
    <x v="2"/>
    <s v="Valid Response"/>
  </r>
  <r>
    <n v="1446"/>
    <x v="59"/>
    <x v="2"/>
    <x v="2"/>
    <n v="48000"/>
    <x v="0"/>
    <s v="Amit"/>
    <x v="2"/>
    <s v="Valid Response"/>
  </r>
  <r>
    <n v="1447"/>
    <x v="60"/>
    <x v="0"/>
    <x v="1"/>
    <n v="55000"/>
    <x v="2"/>
    <s v="Rahul"/>
    <x v="2"/>
    <s v="Valid Response"/>
  </r>
  <r>
    <n v="1448"/>
    <x v="61"/>
    <x v="4"/>
    <x v="2"/>
    <n v="55000"/>
    <x v="2"/>
    <s v="Karan"/>
    <x v="2"/>
    <s v="Valid Response"/>
  </r>
  <r>
    <n v="1449"/>
    <x v="62"/>
    <x v="0"/>
    <x v="2"/>
    <n v="15000"/>
    <x v="0"/>
    <s v="Rahul"/>
    <x v="1"/>
    <s v="Valid Response"/>
  </r>
  <r>
    <n v="1450"/>
    <x v="117"/>
    <x v="3"/>
    <x v="2"/>
    <n v="21000"/>
    <x v="0"/>
    <s v="Pooja"/>
    <x v="2"/>
    <s v="Valid Response"/>
  </r>
  <r>
    <n v="1451"/>
    <x v="63"/>
    <x v="1"/>
    <x v="0"/>
    <n v="20000"/>
    <x v="1"/>
    <s v="Arjun"/>
    <x v="1"/>
    <s v="Valid Response"/>
  </r>
  <r>
    <n v="1453"/>
    <x v="65"/>
    <x v="3"/>
    <x v="2"/>
    <n v="20000"/>
    <x v="1"/>
    <s v="Arjun"/>
    <x v="0"/>
    <s v="Valid Response"/>
  </r>
  <r>
    <n v="1454"/>
    <x v="101"/>
    <x v="3"/>
    <x v="1"/>
    <n v="55000"/>
    <x v="2"/>
    <s v="Arjun"/>
    <x v="2"/>
    <s v="Valid Response"/>
  </r>
  <r>
    <n v="1455"/>
    <x v="66"/>
    <x v="2"/>
    <x v="1"/>
    <n v="20000"/>
    <x v="0"/>
    <s v="Rahul"/>
    <x v="1"/>
    <s v="Valid Response"/>
  </r>
  <r>
    <n v="1456"/>
    <x v="67"/>
    <x v="0"/>
    <x v="2"/>
    <n v="20000"/>
    <x v="1"/>
    <s v="Arjun"/>
    <x v="2"/>
    <s v="Valid Response"/>
  </r>
  <r>
    <n v="1457"/>
    <x v="68"/>
    <x v="3"/>
    <x v="1"/>
    <n v="48000"/>
    <x v="0"/>
    <s v="Anita"/>
    <x v="2"/>
    <s v="Valid Response"/>
  </r>
  <r>
    <n v="1458"/>
    <x v="69"/>
    <x v="4"/>
    <x v="1"/>
    <n v="15000"/>
    <x v="0"/>
    <s v="Anita"/>
    <x v="3"/>
    <s v="Valid Response"/>
  </r>
  <r>
    <n v="1460"/>
    <x v="71"/>
    <x v="1"/>
    <x v="2"/>
    <n v="55000"/>
    <x v="1"/>
    <s v="Arjun"/>
    <x v="3"/>
    <s v="Valid Response"/>
  </r>
  <r>
    <n v="1462"/>
    <x v="103"/>
    <x v="0"/>
    <x v="1"/>
    <n v="15000"/>
    <x v="0"/>
    <s v="Pooja"/>
    <x v="0"/>
    <s v="Valid Response"/>
  </r>
  <r>
    <n v="1463"/>
    <x v="104"/>
    <x v="1"/>
    <x v="0"/>
    <n v="53000"/>
    <x v="1"/>
    <s v="Pooja"/>
    <x v="0"/>
    <s v="Valid Response"/>
  </r>
  <r>
    <n v="1466"/>
    <x v="73"/>
    <x v="2"/>
    <x v="2"/>
    <n v="53000"/>
    <x v="1"/>
    <s v="Ravi"/>
    <x v="0"/>
    <s v="Valid Response"/>
  </r>
  <r>
    <n v="1467"/>
    <x v="74"/>
    <x v="4"/>
    <x v="2"/>
    <n v="52000"/>
    <x v="2"/>
    <s v="Anita"/>
    <x v="0"/>
    <s v="Valid Response"/>
  </r>
  <r>
    <n v="1468"/>
    <x v="106"/>
    <x v="1"/>
    <x v="2"/>
    <n v="52000"/>
    <x v="0"/>
    <s v="Arjun"/>
    <x v="2"/>
    <s v="Valid Response"/>
  </r>
  <r>
    <n v="1470"/>
    <x v="112"/>
    <x v="1"/>
    <x v="1"/>
    <n v="48000"/>
    <x v="1"/>
    <s v="Rahul"/>
    <x v="1"/>
    <s v="Valid Response"/>
  </r>
  <r>
    <n v="1471"/>
    <x v="76"/>
    <x v="1"/>
    <x v="1"/>
    <n v="52000"/>
    <x v="1"/>
    <s v="Pooja"/>
    <x v="3"/>
    <s v="Valid Response"/>
  </r>
  <r>
    <n v="1472"/>
    <x v="77"/>
    <x v="4"/>
    <x v="2"/>
    <n v="21000"/>
    <x v="0"/>
    <s v="Karan"/>
    <x v="2"/>
    <s v="Valid Response"/>
  </r>
  <r>
    <n v="1473"/>
    <x v="78"/>
    <x v="2"/>
    <x v="1"/>
    <n v="21000"/>
    <x v="2"/>
    <s v="Ravi"/>
    <x v="2"/>
    <s v="Valid Response"/>
  </r>
  <r>
    <n v="1474"/>
    <x v="113"/>
    <x v="2"/>
    <x v="1"/>
    <n v="53000"/>
    <x v="1"/>
    <s v="Amit"/>
    <x v="2"/>
    <s v="Valid Response"/>
  </r>
  <r>
    <n v="1475"/>
    <x v="107"/>
    <x v="3"/>
    <x v="1"/>
    <n v="15000"/>
    <x v="1"/>
    <s v="Arjun"/>
    <x v="0"/>
    <s v="Valid Response"/>
  </r>
  <r>
    <n v="1476"/>
    <x v="79"/>
    <x v="4"/>
    <x v="2"/>
    <n v="15000"/>
    <x v="1"/>
    <s v="Arjun"/>
    <x v="2"/>
    <s v="Valid Response"/>
  </r>
  <r>
    <n v="1477"/>
    <x v="114"/>
    <x v="4"/>
    <x v="0"/>
    <n v="52000"/>
    <x v="2"/>
    <s v="Ravi"/>
    <x v="0"/>
    <s v="Valid Response"/>
  </r>
  <r>
    <n v="1478"/>
    <x v="115"/>
    <x v="0"/>
    <x v="0"/>
    <n v="21000"/>
    <x v="2"/>
    <s v="Anita"/>
    <x v="0"/>
    <s v="Valid Response"/>
  </r>
  <r>
    <n v="1479"/>
    <x v="80"/>
    <x v="2"/>
    <x v="1"/>
    <n v="48000"/>
    <x v="1"/>
    <s v="Anita"/>
    <x v="0"/>
    <s v="Valid Response"/>
  </r>
  <r>
    <n v="1481"/>
    <x v="0"/>
    <x v="1"/>
    <x v="1"/>
    <n v="21000"/>
    <x v="0"/>
    <s v="Anita"/>
    <x v="1"/>
    <s v="Valid Response"/>
  </r>
  <r>
    <n v="1482"/>
    <x v="82"/>
    <x v="1"/>
    <x v="0"/>
    <n v="52000"/>
    <x v="1"/>
    <s v="Karan"/>
    <x v="0"/>
    <s v="Valid Response"/>
  </r>
  <r>
    <n v="1483"/>
    <x v="83"/>
    <x v="3"/>
    <x v="2"/>
    <n v="21000"/>
    <x v="2"/>
    <s v="Karan"/>
    <x v="0"/>
    <s v="Valid Response"/>
  </r>
  <r>
    <n v="1484"/>
    <x v="84"/>
    <x v="3"/>
    <x v="2"/>
    <n v="48000"/>
    <x v="1"/>
    <s v="Amit"/>
    <x v="0"/>
    <s v="Valid Response"/>
  </r>
  <r>
    <n v="1485"/>
    <x v="1"/>
    <x v="2"/>
    <x v="1"/>
    <n v="52000"/>
    <x v="0"/>
    <s v="Karan"/>
    <x v="0"/>
    <s v="Valid Response"/>
  </r>
  <r>
    <n v="1486"/>
    <x v="85"/>
    <x v="3"/>
    <x v="1"/>
    <n v="55000"/>
    <x v="2"/>
    <s v="Ravi"/>
    <x v="2"/>
    <s v="Valid Response"/>
  </r>
  <r>
    <n v="1487"/>
    <x v="2"/>
    <x v="2"/>
    <x v="2"/>
    <n v="52000"/>
    <x v="0"/>
    <s v="Neha"/>
    <x v="2"/>
    <s v="Valid Response"/>
  </r>
  <r>
    <n v="1488"/>
    <x v="86"/>
    <x v="2"/>
    <x v="1"/>
    <n v="21000"/>
    <x v="0"/>
    <s v="Amit"/>
    <x v="2"/>
    <s v="Valid Response"/>
  </r>
  <r>
    <n v="1490"/>
    <x v="4"/>
    <x v="1"/>
    <x v="2"/>
    <n v="21000"/>
    <x v="2"/>
    <s v="Arjun"/>
    <x v="0"/>
    <s v="Valid Response"/>
  </r>
  <r>
    <n v="1491"/>
    <x v="87"/>
    <x v="0"/>
    <x v="1"/>
    <n v="15000"/>
    <x v="1"/>
    <s v="Anita"/>
    <x v="2"/>
    <s v="Valid Response"/>
  </r>
  <r>
    <n v="1492"/>
    <x v="5"/>
    <x v="2"/>
    <x v="2"/>
    <n v="15000"/>
    <x v="2"/>
    <s v="Amit"/>
    <x v="1"/>
    <s v="Valid Response"/>
  </r>
  <r>
    <n v="1494"/>
    <x v="7"/>
    <x v="2"/>
    <x v="1"/>
    <n v="55000"/>
    <x v="1"/>
    <s v="Rahul"/>
    <x v="3"/>
    <s v="Valid Response"/>
  </r>
  <r>
    <n v="1497"/>
    <x v="10"/>
    <x v="1"/>
    <x v="0"/>
    <n v="48000"/>
    <x v="2"/>
    <s v="Neha"/>
    <x v="0"/>
    <s v="Valid Response"/>
  </r>
  <r>
    <n v="1498"/>
    <x v="11"/>
    <x v="1"/>
    <x v="2"/>
    <n v="21000"/>
    <x v="0"/>
    <s v="Pooja"/>
    <x v="0"/>
    <s v="Valid Respo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C8100C-9509-41CA-9B39-CD688033A411}" name="PivotTable8" cacheId="0"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8" rowHeaderCaption="Months">
  <location ref="G15:K21" firstHeaderRow="1" firstDataRow="2" firstDataCol="1"/>
  <pivotFields count="10">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3"/>
        <item x="1"/>
        <item x="4"/>
        <item x="0"/>
        <item t="default"/>
      </items>
    </pivotField>
    <pivotField axis="axisCol" showAll="0">
      <items count="4">
        <item x="2"/>
        <item x="1"/>
        <item x="0"/>
        <item t="default"/>
      </items>
    </pivotField>
    <pivotField dataField="1" showAll="0"/>
    <pivotField showAll="0">
      <items count="4">
        <item x="2"/>
        <item x="1"/>
        <item x="0"/>
        <item t="default"/>
      </items>
    </pivotField>
    <pivotField showAll="0"/>
    <pivotField showAll="0">
      <items count="5">
        <item x="1"/>
        <item x="2"/>
        <item x="3"/>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5">
    <i>
      <x v="1"/>
    </i>
    <i>
      <x v="2"/>
    </i>
    <i>
      <x v="3"/>
    </i>
    <i>
      <x v="4"/>
    </i>
    <i t="grand">
      <x/>
    </i>
  </rowItems>
  <colFields count="1">
    <field x="3"/>
  </colFields>
  <colItems count="4">
    <i>
      <x/>
    </i>
    <i>
      <x v="1"/>
    </i>
    <i>
      <x v="2"/>
    </i>
    <i t="grand">
      <x/>
    </i>
  </colItems>
  <dataFields count="1">
    <dataField name="Sum of Sales" fld="4" baseField="0" baseItem="0"/>
  </dataFields>
  <formats count="65">
    <format dxfId="64">
      <pivotArea type="all" dataOnly="0" outline="0" fieldPosition="0"/>
    </format>
    <format dxfId="63">
      <pivotArea outline="0" collapsedLevelsAreSubtotals="1" fieldPosition="0"/>
    </format>
    <format dxfId="62">
      <pivotArea type="origin" dataOnly="0" labelOnly="1" outline="0" fieldPosition="0"/>
    </format>
    <format dxfId="61">
      <pivotArea field="3" type="button" dataOnly="0" labelOnly="1" outline="0" axis="axisCol" fieldPosition="0"/>
    </format>
    <format dxfId="60">
      <pivotArea type="topRight" dataOnly="0" labelOnly="1" outline="0" fieldPosition="0"/>
    </format>
    <format dxfId="59">
      <pivotArea field="7" type="button" dataOnly="0" labelOnly="1" outline="0"/>
    </format>
    <format dxfId="58">
      <pivotArea dataOnly="0" labelOnly="1" grandRow="1" outline="0" fieldPosition="0"/>
    </format>
    <format dxfId="57">
      <pivotArea dataOnly="0" labelOnly="1" grandCol="1" outline="0" fieldPosition="0"/>
    </format>
    <format dxfId="56">
      <pivotArea type="origin" dataOnly="0" labelOnly="1" outline="0" fieldPosition="0"/>
    </format>
    <format dxfId="55">
      <pivotArea field="7" type="button" dataOnly="0" labelOnly="1" outline="0"/>
    </format>
    <format dxfId="54">
      <pivotArea dataOnly="0" labelOnly="1" grandRow="1" outline="0" fieldPosition="0"/>
    </format>
    <format dxfId="53">
      <pivotArea field="3" type="button" dataOnly="0" labelOnly="1" outline="0" axis="axisCol" fieldPosition="0"/>
    </format>
    <format dxfId="52">
      <pivotArea dataOnly="0" labelOnly="1" grandCol="1" outline="0" fieldPosition="0"/>
    </format>
    <format dxfId="51">
      <pivotArea field="7" type="button" dataOnly="0" labelOnly="1" outline="0"/>
    </format>
    <format dxfId="50">
      <pivotArea type="origin" dataOnly="0" labelOnly="1" outline="0" fieldPosition="0"/>
    </format>
    <format dxfId="49">
      <pivotArea field="3" type="button" dataOnly="0" labelOnly="1" outline="0" axis="axisCol" fieldPosition="0"/>
    </format>
    <format dxfId="48">
      <pivotArea outline="0" collapsedLevelsAreSubtotals="1" fieldPosition="0"/>
    </format>
    <format dxfId="47">
      <pivotArea dataOnly="0" labelOnly="1" grandCol="1" outline="0" fieldPosition="0"/>
    </format>
    <format dxfId="46">
      <pivotArea field="7" type="button" dataOnly="0" labelOnly="1" outline="0"/>
    </format>
    <format dxfId="45">
      <pivotArea dataOnly="0" labelOnly="1" grandCol="1" outline="0" fieldPosition="0"/>
    </format>
    <format dxfId="44">
      <pivotArea type="origin" dataOnly="0" labelOnly="1" outline="0" fieldPosition="0"/>
    </format>
    <format dxfId="43">
      <pivotArea field="7" type="button" dataOnly="0" labelOnly="1" outline="0"/>
    </format>
    <format dxfId="42">
      <pivotArea dataOnly="0" labelOnly="1" grandRow="1" outline="0" fieldPosition="0"/>
    </format>
    <format dxfId="41">
      <pivotArea type="all" dataOnly="0" outline="0" fieldPosition="0"/>
    </format>
    <format dxfId="40">
      <pivotArea field="3" type="button" dataOnly="0" labelOnly="1" outline="0" axis="axisCol" fieldPosition="0"/>
    </format>
    <format dxfId="39">
      <pivotArea type="topRight" dataOnly="0" labelOnly="1" outline="0" fieldPosition="0"/>
    </format>
    <format dxfId="38">
      <pivotArea dataOnly="0" labelOnly="1" grandCol="1" outline="0" fieldPosition="0"/>
    </format>
    <format dxfId="37">
      <pivotArea type="topRight" dataOnly="0" labelOnly="1" outline="0" offset="B1:C1" fieldPosition="0"/>
    </format>
    <format dxfId="36">
      <pivotArea grandRow="1" outline="0" collapsedLevelsAreSubtotals="1" fieldPosition="0"/>
    </format>
    <format dxfId="35">
      <pivotArea dataOnly="0" labelOnly="1" grandCol="1" outline="0" fieldPosition="0"/>
    </format>
    <format dxfId="34">
      <pivotArea field="3" type="button" dataOnly="0" labelOnly="1" outline="0" axis="axisCol" fieldPosition="0"/>
    </format>
    <format dxfId="33">
      <pivotArea type="topRight" dataOnly="0" labelOnly="1" outline="0" offset="A1" fieldPosition="0"/>
    </format>
    <format dxfId="32">
      <pivotArea grandRow="1" outline="0" collapsedLevelsAreSubtotals="1" fieldPosition="0"/>
    </format>
    <format dxfId="31">
      <pivotArea dataOnly="0" labelOnly="1" grandCol="1" outline="0" fieldPosition="0"/>
    </format>
    <format dxfId="30">
      <pivotArea dataOnly="0" labelOnly="1" grandCol="1" outline="0" fieldPosition="0"/>
    </format>
    <format dxfId="29">
      <pivotArea field="3" type="button" dataOnly="0" labelOnly="1" outline="0" axis="axisCol" fieldPosition="0"/>
    </format>
    <format dxfId="28">
      <pivotArea type="topRight" dataOnly="0" labelOnly="1" outline="0" fieldPosition="0"/>
    </format>
    <format dxfId="27">
      <pivotArea outline="0" collapsedLevelsAreSubtotals="1" fieldPosition="0"/>
    </format>
    <format dxfId="26">
      <pivotArea dataOnly="0" labelOnly="1" grandCol="1" outline="0" fieldPosition="0"/>
    </format>
    <format dxfId="25">
      <pivotArea type="all" dataOnly="0" outline="0" fieldPosition="0"/>
    </format>
    <format dxfId="24">
      <pivotArea type="origin" dataOnly="0" labelOnly="1" outline="0" fieldPosition="0"/>
    </format>
    <format dxfId="23">
      <pivotArea field="7" type="button" dataOnly="0" labelOnly="1" outline="0"/>
    </format>
    <format dxfId="22">
      <pivotArea dataOnly="0" labelOnly="1" grandRow="1" outline="0" fieldPosition="0"/>
    </format>
    <format dxfId="21">
      <pivotArea field="3" type="button" dataOnly="0" labelOnly="1" outline="0" axis="axisCol" fieldPosition="0"/>
    </format>
    <format dxfId="20">
      <pivotArea grandRow="1" outline="0" collapsedLevelsAreSubtotals="1" fieldPosition="0"/>
    </format>
    <format dxfId="19">
      <pivotArea dataOnly="0" labelOnly="1" grandRow="1" outline="0" fieldPosition="0"/>
    </format>
    <format dxfId="18">
      <pivotArea field="7" type="button" dataOnly="0" labelOnly="1" outline="0"/>
    </format>
    <format dxfId="17">
      <pivotArea dataOnly="0" labelOnly="1" grandCol="1" outline="0" fieldPosition="0"/>
    </format>
    <format dxfId="16">
      <pivotArea field="7" type="button" dataOnly="0" labelOnly="1" outline="0"/>
    </format>
    <format dxfId="15">
      <pivotArea dataOnly="0" labelOnly="1" grandCol="1" outline="0" fieldPosition="0"/>
    </format>
    <format dxfId="14">
      <pivotArea field="9" type="button" dataOnly="0" labelOnly="1" outline="0" axis="axisRow"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9" type="button" dataOnly="0" labelOnly="1" outline="0" axis="axisRow" fieldPosition="0"/>
    </format>
    <format dxfId="9">
      <pivotArea dataOnly="0" labelOnly="1" fieldPosition="0">
        <references count="1">
          <reference field="9" count="4">
            <x v="1"/>
            <x v="2"/>
            <x v="3"/>
            <x v="4"/>
          </reference>
        </references>
      </pivotArea>
    </format>
    <format dxfId="8">
      <pivotArea dataOnly="0" labelOnly="1" grandRow="1" outline="0" fieldPosition="0"/>
    </format>
    <format dxfId="7">
      <pivotArea dataOnly="0" labelOnly="1" outline="0" axis="axisValues" fieldPosition="0"/>
    </format>
    <format dxfId="6">
      <pivotArea dataOnly="0" labelOnly="1" fieldPosition="0">
        <references count="1">
          <reference field="3" count="0"/>
        </references>
      </pivotArea>
    </format>
    <format dxfId="5">
      <pivotArea dataOnly="0" labelOnly="1" fieldPosition="0">
        <references count="1">
          <reference field="3" count="0"/>
        </references>
      </pivotArea>
    </format>
    <format dxfId="4">
      <pivotArea dataOnly="0" labelOnly="1" grandCol="1" outline="0" fieldPosition="0"/>
    </format>
    <format dxfId="3">
      <pivotArea grandRow="1" outline="0" collapsedLevelsAreSubtotals="1" fieldPosition="0"/>
    </format>
    <format dxfId="2">
      <pivotArea dataOnly="0" labelOnly="1" fieldPosition="0">
        <references count="1">
          <reference field="3" count="0"/>
        </references>
      </pivotArea>
    </format>
    <format dxfId="1">
      <pivotArea dataOnly="0" labelOnly="1" fieldPosition="0">
        <references count="1">
          <reference field="3" count="0"/>
        </references>
      </pivotArea>
    </format>
    <format dxfId="0">
      <pivotArea field="9" type="button" dataOnly="0" labelOnly="1" outline="0" axis="axisRow" fieldPosition="0"/>
    </format>
  </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0">
      <pivotArea type="data" outline="0" fieldPosition="0">
        <references count="2">
          <reference field="4294967294" count="1" selected="0">
            <x v="0"/>
          </reference>
          <reference field="9" count="1" selected="0">
            <x v="4"/>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2"/>
          </reference>
        </references>
      </pivotArea>
    </chartFormat>
    <chartFormat chart="5" format="9">
      <pivotArea type="data" outline="0" fieldPosition="0">
        <references count="3">
          <reference field="4294967294" count="1" selected="0">
            <x v="0"/>
          </reference>
          <reference field="3"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EBBBF-6132-4BD6-B8C8-D537C6575E56}" name="PivotTable7" cacheId="0"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17" rowHeaderCaption="City">
  <location ref="B15:D21" firstHeaderRow="0"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2"/>
        <item x="3"/>
        <item x="1"/>
        <item x="4"/>
        <item x="0"/>
        <item t="default"/>
      </items>
    </pivotField>
    <pivotField showAll="0">
      <items count="4">
        <item x="2"/>
        <item x="1"/>
        <item x="0"/>
        <item t="default"/>
      </items>
    </pivotField>
    <pivotField dataField="1" showAll="0"/>
    <pivotField dataField="1" showAll="0">
      <items count="4">
        <item x="2"/>
        <item x="1"/>
        <item x="0"/>
        <item t="default"/>
      </items>
    </pivotField>
    <pivotField showAll="0"/>
    <pivotField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Quantity" fld="5" baseField="0" baseItem="0"/>
    <dataField name="Sum of Sales" fld="4" baseField="0" baseItem="0"/>
  </dataFields>
  <formats count="28">
    <format dxfId="92">
      <pivotArea type="all" dataOnly="0" outline="0" fieldPosition="0"/>
    </format>
    <format dxfId="91">
      <pivotArea field="2" type="button" dataOnly="0" labelOnly="1" outline="0" axis="axisRow" fieldPosition="0"/>
    </format>
    <format dxfId="90">
      <pivotArea dataOnly="0" labelOnly="1" grandRow="1" outline="0" fieldPosition="0"/>
    </format>
    <format dxfId="89">
      <pivotArea dataOnly="0" labelOnly="1" outline="0" fieldPosition="0">
        <references count="1">
          <reference field="4294967294" count="2">
            <x v="0"/>
            <x v="1"/>
          </reference>
        </references>
      </pivotArea>
    </format>
    <format dxfId="88">
      <pivotArea field="2" type="button" dataOnly="0" labelOnly="1" outline="0" axis="axisRow" fieldPosition="0"/>
    </format>
    <format dxfId="87">
      <pivotArea dataOnly="0" labelOnly="1" grandRow="1" outline="0" fieldPosition="0"/>
    </format>
    <format dxfId="86">
      <pivotArea grandRow="1" outline="0" collapsedLevelsAreSubtotals="1" fieldPosition="0"/>
    </format>
    <format dxfId="85">
      <pivotArea dataOnly="0" labelOnly="1" grandRow="1" outline="0" fieldPosition="0"/>
    </format>
    <format dxfId="84">
      <pivotArea grandRow="1" outline="0" collapsedLevelsAreSubtotals="1" fieldPosition="0"/>
    </format>
    <format dxfId="83">
      <pivotArea dataOnly="0" labelOnly="1" grandRow="1"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grandRow="1" outline="0" fieldPosition="0"/>
    </format>
    <format dxfId="77">
      <pivotArea dataOnly="0" labelOnly="1" outline="0" fieldPosition="0">
        <references count="1">
          <reference field="4294967294" count="2">
            <x v="0"/>
            <x v="1"/>
          </reference>
        </references>
      </pivotArea>
    </format>
    <format dxfId="76">
      <pivotArea dataOnly="0" labelOnly="1" outline="0" fieldPosition="0">
        <references count="1">
          <reference field="4294967294" count="2">
            <x v="0"/>
            <x v="1"/>
          </reference>
        </references>
      </pivotArea>
    </format>
    <format dxfId="75">
      <pivotArea dataOnly="0" labelOnly="1" outline="0" fieldPosition="0">
        <references count="1">
          <reference field="4294967294" count="1">
            <x v="1"/>
          </reference>
        </references>
      </pivotArea>
    </format>
    <format dxfId="74">
      <pivotArea dataOnly="0" labelOnly="1" outline="0" fieldPosition="0">
        <references count="1">
          <reference field="4294967294" count="2">
            <x v="0"/>
            <x v="1"/>
          </reference>
        </references>
      </pivotArea>
    </format>
    <format dxfId="73">
      <pivotArea grandRow="1" outline="0" collapsedLevelsAreSubtotals="1" fieldPosition="0"/>
    </format>
    <format dxfId="72">
      <pivotArea dataOnly="0" labelOnly="1" outline="0" fieldPosition="0">
        <references count="1">
          <reference field="4294967294" count="2">
            <x v="0"/>
            <x v="1"/>
          </reference>
        </references>
      </pivotArea>
    </format>
    <format dxfId="71">
      <pivotArea dataOnly="0" labelOnly="1" outline="0" fieldPosition="0">
        <references count="1">
          <reference field="4294967294" count="2">
            <x v="0"/>
            <x v="1"/>
          </reference>
        </references>
      </pivotArea>
    </format>
    <format dxfId="70">
      <pivotArea dataOnly="0" labelOnly="1" fieldPosition="0">
        <references count="1">
          <reference field="2" count="0"/>
        </references>
      </pivotArea>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grandRow="1" outline="0" collapsedLevelsAreSubtotals="1" fieldPosition="0"/>
    </format>
    <format dxfId="65">
      <pivotArea dataOnly="0" labelOnly="1" grandRow="1" outline="0" fieldPosition="0"/>
    </format>
  </formats>
  <chartFormats count="4">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1EBB2A-0616-42BB-BBDD-2337BC52503B}" name="PivotTable6" cacheId="0" applyNumberFormats="0" applyBorderFormats="0" applyFontFormats="0" applyPatternFormats="0" applyAlignmentFormats="0" applyWidthHeightFormats="1" dataCaption="Values" errorCaption="Error Inside" showError="1" missingCaption="Null" updatedVersion="6" minRefreshableVersion="5" showDataTips="0" itemPrintTitles="1" createdVersion="6" indent="0" compact="0" compactData="0" chartFormat="6">
  <location ref="G7:J12" firstHeaderRow="0" firstDataRow="1" firstDataCol="1" rowPageCount="1" colPageCount="1"/>
  <pivotFields count="10">
    <pivotField dataField="1"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6">
        <item x="2"/>
        <item x="3"/>
        <item x="1"/>
        <item x="4"/>
        <item x="0"/>
        <item t="default"/>
      </items>
    </pivotField>
    <pivotField compact="0" outline="0" showAll="0">
      <items count="4">
        <item x="2"/>
        <item x="1"/>
        <item x="0"/>
        <item t="default"/>
      </items>
    </pivotField>
    <pivotField dataField="1" compact="0" outline="0" showAll="0"/>
    <pivotField axis="axisPage" dataField="1" compact="0" outline="0" multipleItemSelectionAllowed="1" showAll="0">
      <items count="4">
        <item x="2"/>
        <item x="1"/>
        <item x="0"/>
        <item t="default"/>
      </items>
    </pivotField>
    <pivotField compact="0" outline="0" showAll="0"/>
    <pivotField axis="axisRow" compact="0" outline="0" showAll="0">
      <items count="5">
        <item x="0"/>
        <item x="1"/>
        <item x="3"/>
        <item x="2"/>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2"/>
  </colFields>
  <colItems count="3">
    <i>
      <x/>
    </i>
    <i i="1">
      <x v="1"/>
    </i>
    <i i="2">
      <x v="2"/>
    </i>
  </colItems>
  <pageFields count="1">
    <pageField fld="5" hier="-1"/>
  </pageFields>
  <dataFields count="3">
    <dataField name="Sum of Quantity" fld="5" baseField="0" baseItem="0"/>
    <dataField name="Sum of Sales" fld="4" baseField="0" baseItem="0"/>
    <dataField name="Count of OrderID" fld="0" subtotal="count" baseField="7" baseItem="0"/>
  </dataFields>
  <formats count="49">
    <format dxfId="141">
      <pivotArea field="7" type="button" dataOnly="0" labelOnly="1" outline="0" axis="axisRow" fieldPosition="0"/>
    </format>
    <format dxfId="140">
      <pivotArea field="-2" type="button" dataOnly="0" labelOnly="1" outline="0" axis="axisCol" fieldPosition="0"/>
    </format>
    <format dxfId="139">
      <pivotArea type="topRight" dataOnly="0" labelOnly="1" outline="0" fieldPosition="0"/>
    </format>
    <format dxfId="138">
      <pivotArea grandRow="1" outline="0" collapsedLevelsAreSubtotals="1" fieldPosition="0"/>
    </format>
    <format dxfId="137">
      <pivotArea dataOnly="0" labelOnly="1" grandRow="1" outline="0" fieldPosition="0"/>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2" type="button" dataOnly="0" labelOnly="1" outline="0" axis="axisCol" fieldPosition="0"/>
    </format>
    <format dxfId="132">
      <pivotArea type="topRight" dataOnly="0" labelOnly="1" outline="0" fieldPosition="0"/>
    </format>
    <format dxfId="131">
      <pivotArea field="7" type="button" dataOnly="0" labelOnly="1" outline="0" axis="axisRow" fieldPosition="0"/>
    </format>
    <format dxfId="130">
      <pivotArea dataOnly="0" labelOnly="1" grandRow="1" outline="0" fieldPosition="0"/>
    </format>
    <format dxfId="129">
      <pivotArea dataOnly="0" labelOnly="1" outline="0" fieldPosition="0">
        <references count="1">
          <reference field="4294967294" count="2">
            <x v="0"/>
            <x v="1"/>
          </reference>
        </references>
      </pivotArea>
    </format>
    <format dxfId="128">
      <pivotArea grandRow="1" outline="0" collapsedLevelsAreSubtotals="1" fieldPosition="0"/>
    </format>
    <format dxfId="127">
      <pivotArea dataOnly="0" labelOnly="1" grandRow="1" outline="0" fieldPosition="0"/>
    </format>
    <format dxfId="126">
      <pivotArea field="7" type="button" dataOnly="0" labelOnly="1" outline="0" axis="axisRow" fieldPosition="0"/>
    </format>
    <format dxfId="125">
      <pivotArea dataOnly="0" labelOnly="1" outline="0" fieldPosition="0">
        <references count="1">
          <reference field="4294967294" count="2">
            <x v="0"/>
            <x v="1"/>
          </reference>
        </references>
      </pivotArea>
    </format>
    <format dxfId="124">
      <pivotArea field="7" type="button" dataOnly="0" labelOnly="1" outline="0" axis="axisRow" fieldPosition="0"/>
    </format>
    <format dxfId="123">
      <pivotArea dataOnly="0" labelOnly="1" outline="0" fieldPosition="0">
        <references count="1">
          <reference field="4294967294" count="2">
            <x v="0"/>
            <x v="1"/>
          </reference>
        </references>
      </pivotArea>
    </format>
    <format dxfId="122">
      <pivotArea field="-2" type="button" dataOnly="0" labelOnly="1" outline="0" axis="axisCol" fieldPosition="0"/>
    </format>
    <format dxfId="121">
      <pivotArea type="origin" dataOnly="0" labelOnly="1" outline="0" fieldPosition="0"/>
    </format>
    <format dxfId="120">
      <pivotArea field="-2" type="button" dataOnly="0" labelOnly="1" outline="0" axis="axisCol" fieldPosition="0"/>
    </format>
    <format dxfId="119">
      <pivotArea type="topRight" dataOnly="0" labelOnly="1" outline="0" fieldPosition="0"/>
    </format>
    <format dxfId="118">
      <pivotArea dataOnly="0" labelOnly="1" outline="0" fieldPosition="0">
        <references count="1">
          <reference field="4294967294" count="2">
            <x v="0"/>
            <x v="1"/>
          </reference>
        </references>
      </pivotArea>
    </format>
    <format dxfId="117">
      <pivotArea outline="0" fieldPosition="0">
        <references count="1">
          <reference field="4294967294" count="1" selected="0">
            <x v="0"/>
          </reference>
        </references>
      </pivotArea>
    </format>
    <format dxfId="116">
      <pivotArea outline="0" fieldPosition="0">
        <references count="1">
          <reference field="7" count="0" selected="0"/>
        </references>
      </pivotArea>
    </format>
    <format dxfId="115">
      <pivotArea grandRow="1" outline="0" collapsedLevelsAreSubtotals="1" fieldPosition="0"/>
    </format>
    <format dxfId="114">
      <pivotArea type="origin" dataOnly="0" labelOnly="1" outline="0" fieldPosition="0"/>
    </format>
    <format dxfId="113">
      <pivotArea field="-2" type="button" dataOnly="0" labelOnly="1" outline="0" axis="axisCol" fieldPosition="0"/>
    </format>
    <format dxfId="112">
      <pivotArea type="topRight" dataOnly="0" labelOnly="1" outline="0" fieldPosition="0"/>
    </format>
    <format dxfId="111">
      <pivotArea field="7" type="button" dataOnly="0" labelOnly="1" outline="0" axis="axisRow" fieldPosition="0"/>
    </format>
    <format dxfId="110">
      <pivotArea dataOnly="0" labelOnly="1" outline="0" fieldPosition="0">
        <references count="1">
          <reference field="4294967294" count="2">
            <x v="0"/>
            <x v="1"/>
          </reference>
        </references>
      </pivotArea>
    </format>
    <format dxfId="109">
      <pivotArea type="origin" dataOnly="0" labelOnly="1" outline="0" fieldPosition="0"/>
    </format>
    <format dxfId="108">
      <pivotArea field="-2" type="button" dataOnly="0" labelOnly="1" outline="0" axis="axisCol" fieldPosition="0"/>
    </format>
    <format dxfId="107">
      <pivotArea type="topRight" dataOnly="0" labelOnly="1" outline="0" fieldPosition="0"/>
    </format>
    <format dxfId="106">
      <pivotArea field="7" type="button" dataOnly="0" labelOnly="1" outline="0" axis="axisRow" fieldPosition="0"/>
    </format>
    <format dxfId="105">
      <pivotArea dataOnly="0" labelOnly="1" outline="0" fieldPosition="0">
        <references count="1">
          <reference field="4294967294" count="2">
            <x v="0"/>
            <x v="1"/>
          </reference>
        </references>
      </pivotArea>
    </format>
    <format dxfId="104">
      <pivotArea field="-2" type="button" dataOnly="0" labelOnly="1" outline="0" axis="axisCol" fieldPosition="0"/>
    </format>
    <format dxfId="103">
      <pivotArea type="topRight" dataOnly="0" labelOnly="1" outline="0" fieldPosition="0"/>
    </format>
    <format dxfId="102">
      <pivotArea type="origin" dataOnly="0" labelOnly="1" outline="0" fieldPosition="0"/>
    </format>
    <format dxfId="101">
      <pivotArea field="-2" type="button" dataOnly="0" labelOnly="1" outline="0" axis="axisCol" fieldPosition="0"/>
    </format>
    <format dxfId="100">
      <pivotArea type="topRight" dataOnly="0" labelOnly="1" outline="0" fieldPosition="0"/>
    </format>
    <format dxfId="99">
      <pivotArea dataOnly="0" labelOnly="1" outline="0" fieldPosition="0">
        <references count="1">
          <reference field="4294967294" count="1">
            <x v="0"/>
          </reference>
        </references>
      </pivotArea>
    </format>
    <format dxfId="98">
      <pivotArea dataOnly="0" labelOnly="1" grandRow="1" outline="0" fieldPosition="0"/>
    </format>
    <format dxfId="97">
      <pivotArea outline="0" fieldPosition="0">
        <references count="1">
          <reference field="7" count="0" selected="0"/>
        </references>
      </pivotArea>
    </format>
    <format dxfId="96">
      <pivotArea dataOnly="0" labelOnly="1" outline="0" fieldPosition="0">
        <references count="1">
          <reference field="7" count="0"/>
        </references>
      </pivotArea>
    </format>
    <format dxfId="95">
      <pivotArea dataOnly="0" labelOnly="1" outline="0" fieldPosition="0">
        <references count="1">
          <reference field="4294967294" count="1">
            <x v="1"/>
          </reference>
        </references>
      </pivotArea>
    </format>
    <format dxfId="94">
      <pivotArea outline="0" fieldPosition="0">
        <references count="2">
          <reference field="4294967294" count="1" selected="0">
            <x v="2"/>
          </reference>
          <reference field="7" count="0" selected="0"/>
        </references>
      </pivotArea>
    </format>
    <format dxfId="93">
      <pivotArea dataOnly="0" labelOnly="1" outline="0" fieldPosition="0">
        <references count="1">
          <reference field="4294967294" count="1">
            <x v="2"/>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7" count="1" selected="0">
            <x v="0"/>
          </reference>
        </references>
      </pivotArea>
    </chartFormat>
    <chartFormat chart="3" format="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BE1AB-570C-4406-A162-C68699022FC9}" name="PivotTable2" cacheId="0" applyNumberFormats="0" applyBorderFormats="0" applyFontFormats="0" applyPatternFormats="0" applyAlignmentFormats="0" applyWidthHeightFormats="1" dataCaption="Values" updatedVersion="6" minRefreshableVersion="5" showDataTips="0" itemPrintTitles="1" createdVersion="6" indent="0" compact="0" compactData="0" multipleFieldFilters="0" chartFormat="6">
  <location ref="B7:C11" firstHeaderRow="1" firstDataRow="1" firstDataCol="1"/>
  <pivotFields count="1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6">
        <item x="2"/>
        <item x="3"/>
        <item x="1"/>
        <item x="4"/>
        <item x="0"/>
        <item t="default"/>
      </items>
    </pivotField>
    <pivotField axis="axisRow" compact="0" outline="0" showAll="0">
      <items count="4">
        <item x="2"/>
        <item x="1"/>
        <item x="0"/>
        <item t="default"/>
      </items>
    </pivotField>
    <pivotField dataField="1" compact="0" outline="0" showAll="0"/>
    <pivotField compact="0" outline="0" showAll="0">
      <items count="4">
        <item x="2"/>
        <item x="1"/>
        <item x="0"/>
        <item t="default"/>
      </items>
    </pivotField>
    <pivotField compact="0" outline="0" showAll="0"/>
    <pivotField compact="0" outline="0" showAll="0">
      <items count="5">
        <item x="1"/>
        <item x="2"/>
        <item x="3"/>
        <item x="0"/>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4" baseField="0" baseItem="0"/>
  </dataFields>
  <formats count="43">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2" type="button" dataOnly="0" labelOnly="1" outline="0" axis="axisValues" fieldPosition="0"/>
    </format>
    <format dxfId="180">
      <pivotArea type="topRight" dataOnly="0" labelOnly="1" outline="0" fieldPosition="0"/>
    </format>
    <format dxfId="179">
      <pivotArea field="3" type="button" dataOnly="0" labelOnly="1" outline="0" axis="axisRow" fieldPosition="0"/>
    </format>
    <format dxfId="178">
      <pivotArea dataOnly="0" labelOnly="1" grandRow="1" outline="0" fieldPosition="0"/>
    </format>
    <format dxfId="177">
      <pivotArea dataOnly="0" labelOnly="1" outline="0" fieldPosition="0">
        <references count="1">
          <reference field="4294967294" count="1">
            <x v="0"/>
          </reference>
        </references>
      </pivotArea>
    </format>
    <format dxfId="176">
      <pivotArea field="3" type="button" dataOnly="0" labelOnly="1" outline="0" axis="axisRow" fieldPosition="0"/>
    </format>
    <format dxfId="175">
      <pivotArea dataOnly="0" labelOnly="1" outline="0" fieldPosition="0">
        <references count="1">
          <reference field="4294967294" count="1">
            <x v="0"/>
          </reference>
        </references>
      </pivotArea>
    </format>
    <format dxfId="174">
      <pivotArea field="3" type="button" dataOnly="0" labelOnly="1" outline="0" axis="axisRow" fieldPosition="0"/>
    </format>
    <format dxfId="173">
      <pivotArea dataOnly="0" labelOnly="1" outline="0" fieldPosition="0">
        <references count="1">
          <reference field="4294967294" count="1">
            <x v="0"/>
          </reference>
        </references>
      </pivotArea>
    </format>
    <format dxfId="172">
      <pivotArea field="-2" type="button" dataOnly="0" labelOnly="1" outline="0" axis="axisValues" fieldPosition="0"/>
    </format>
    <format dxfId="171">
      <pivotArea dataOnly="0" labelOnly="1" grandRow="1" outline="0" fieldPosition="0"/>
    </format>
    <format dxfId="170">
      <pivotArea grandRow="1" outline="0" collapsedLevelsAreSubtotals="1" fieldPosition="0"/>
    </format>
    <format dxfId="169">
      <pivotArea dataOnly="0" labelOnly="1" grandRow="1" outline="0" fieldPosition="0"/>
    </format>
    <format dxfId="168">
      <pivotArea field="3" type="button" dataOnly="0" labelOnly="1" outline="0" axis="axisRow" fieldPosition="0"/>
    </format>
    <format dxfId="167">
      <pivotArea field="3" type="button" dataOnly="0" labelOnly="1" outline="0" axis="axisRow" fieldPosition="0"/>
    </format>
    <format dxfId="166">
      <pivotArea field="-2" type="button" dataOnly="0" labelOnly="1" outline="0" axis="axisValues" fieldPosition="0"/>
    </format>
    <format dxfId="165">
      <pivotArea type="origin" dataOnly="0" labelOnly="1" outline="0" fieldPosition="0"/>
    </format>
    <format dxfId="164">
      <pivotArea field="-2" type="button" dataOnly="0" labelOnly="1" outline="0" axis="axisValues" fieldPosition="0"/>
    </format>
    <format dxfId="163">
      <pivotArea type="topRight" dataOnly="0" labelOnly="1" outline="0" fieldPosition="0"/>
    </format>
    <format dxfId="162">
      <pivotArea field="2" type="button" dataOnly="0" labelOnly="1" outline="0"/>
    </format>
    <format dxfId="161">
      <pivotArea type="origin" dataOnly="0" labelOnly="1" outline="0" fieldPosition="0"/>
    </format>
    <format dxfId="160">
      <pivotArea field="-2" type="button" dataOnly="0" labelOnly="1" outline="0" axis="axisValues" fieldPosition="0"/>
    </format>
    <format dxfId="159">
      <pivotArea type="topRight" dataOnly="0" labelOnly="1" outline="0" fieldPosition="0"/>
    </format>
    <format dxfId="158">
      <pivotArea field="3" type="button" dataOnly="0" labelOnly="1" outline="0" axis="axisRow" fieldPosition="0"/>
    </format>
    <format dxfId="157">
      <pivotArea dataOnly="0" labelOnly="1" outline="0" fieldPosition="0">
        <references count="1">
          <reference field="4294967294" count="1">
            <x v="0"/>
          </reference>
        </references>
      </pivotArea>
    </format>
    <format dxfId="156">
      <pivotArea dataOnly="0" labelOnly="1" grandRow="1" outline="0" fieldPosition="0"/>
    </format>
    <format dxfId="155">
      <pivotArea grandRow="1" outline="0" collapsedLevelsAreSubtotals="1" fieldPosition="0"/>
    </format>
    <format dxfId="154">
      <pivotArea dataOnly="0" labelOnly="1" grandRow="1" outline="0" fieldPosition="0"/>
    </format>
    <format dxfId="153">
      <pivotArea dataOnly="0" labelOnly="1" outline="0" fieldPosition="0">
        <references count="1">
          <reference field="4294967294" count="1">
            <x v="0"/>
          </reference>
        </references>
      </pivotArea>
    </format>
    <format dxfId="152">
      <pivotArea type="origin" dataOnly="0" labelOnly="1" outline="0" fieldPosition="0"/>
    </format>
    <format dxfId="151">
      <pivotArea field="-2" type="button" dataOnly="0" labelOnly="1" outline="0" axis="axisValues" fieldPosition="0"/>
    </format>
    <format dxfId="150">
      <pivotArea type="topRight" dataOnly="0" labelOnly="1" outline="0" fieldPosition="0"/>
    </format>
    <format dxfId="149">
      <pivotArea field="3" type="button" dataOnly="0" labelOnly="1" outline="0" axis="axisRow" fieldPosition="0"/>
    </format>
    <format dxfId="148">
      <pivotArea dataOnly="0" labelOnly="1" outline="0" fieldPosition="0">
        <references count="1">
          <reference field="4294967294" count="1">
            <x v="0"/>
          </reference>
        </references>
      </pivotArea>
    </format>
    <format dxfId="147">
      <pivotArea outline="0" collapsedLevelsAreSubtotals="1" fieldPosition="0"/>
    </format>
    <format dxfId="146">
      <pivotArea dataOnly="0" labelOnly="1" grandRow="1" outline="0" fieldPosition="0"/>
    </format>
    <format dxfId="145">
      <pivotArea dataOnly="0" labelOnly="1" grandRow="1" outline="0" fieldPosition="0"/>
    </format>
    <format dxfId="144">
      <pivotArea field="3" grandRow="1" outline="0" axis="axisRow" fieldPosition="0">
        <references count="1">
          <reference field="4294967294" count="1" selected="0">
            <x v="0"/>
          </reference>
        </references>
      </pivotArea>
    </format>
    <format dxfId="143">
      <pivotArea dataOnly="0" labelOnly="1" outline="0" fieldPosition="0">
        <references count="1">
          <reference field="4294967294" count="1">
            <x v="0"/>
          </reference>
        </references>
      </pivotArea>
    </format>
    <format dxfId="142">
      <pivotArea dataOnly="0" labelOnly="1" outline="0" axis="axisValues" fieldPosition="0"/>
    </format>
  </formats>
  <chartFormats count="6">
    <chartFormat chart="0"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2"/>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AA03EB2-E605-4361-890B-4A4D86132B0F}" sourceName="Product">
  <pivotTables>
    <pivotTable tabId="5" name="PivotTable2"/>
    <pivotTable tabId="5" name="PivotTable6"/>
    <pivotTable tabId="5" name="PivotTable7"/>
    <pivotTable tabId="5" name="PivotTable8"/>
  </pivotTables>
  <data>
    <tabular pivotCacheId="205684203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EACC65-BE71-4F70-AE45-4223291A55AB}" sourceName="Region">
  <pivotTables>
    <pivotTable tabId="5" name="PivotTable6"/>
    <pivotTable tabId="5" name="PivotTable7"/>
    <pivotTable tabId="5" name="PivotTable8"/>
    <pivotTable tabId="5" name="PivotTable2"/>
  </pivotTables>
  <data>
    <tabular pivotCacheId="2056842036">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51035D-F19B-40EC-B643-0AFEE6E1D95D}" sourceName="City">
  <pivotTables>
    <pivotTable tabId="5" name="PivotTable7"/>
    <pivotTable tabId="5" name="PivotTable2"/>
    <pivotTable tabId="5" name="PivotTable6"/>
    <pivotTable tabId="5" name="PivotTable8"/>
  </pivotTables>
  <data>
    <tabular pivotCacheId="2056842036">
      <items count="5">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D7F5B9B-70AB-4CB8-9F99-03769EEB167A}" cache="Slicer_Product" caption="Products" rowHeight="457200"/>
  <slicer name="Region" xr10:uid="{7DB28C1D-0764-4219-A53F-BA37C199972E}" cache="Slicer_Region" caption="Region" rowHeight="365760"/>
  <slicer name="City" xr10:uid="{606040BC-D1B5-4431-B856-F6F474DCB093}" cache="Slicer_City" caption="City"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DF216-A5BC-4B30-B411-DDBD23B44E28}" name="Table1" displayName="Table1" ref="B5:J505" totalsRowShown="0" headerRowDxfId="228" dataDxfId="226" headerRowBorderDxfId="227" tableBorderDxfId="225">
  <autoFilter ref="B5:J505" xr:uid="{F15A1AC7-F444-4D8B-9AA7-C5D10C0FB62D}"/>
  <tableColumns count="9">
    <tableColumn id="1" xr3:uid="{4586962B-60D1-4210-B826-98B115D00B87}" name="OrderID" dataDxfId="224" totalsRowDxfId="223"/>
    <tableColumn id="2" xr3:uid="{FD646C94-0B93-4ADE-A62B-FF3751347C9B}" name="Order  Date" dataDxfId="222" totalsRowDxfId="221"/>
    <tableColumn id="3" xr3:uid="{20A7F2FB-8CD6-4AFC-985F-43C47E267B6F}" name="City" dataDxfId="220" totalsRowDxfId="219"/>
    <tableColumn id="4" xr3:uid="{A087DA82-2B47-4D32-A158-0F09A67E22FB}" name="Product" dataDxfId="218" totalsRowDxfId="217"/>
    <tableColumn id="6" xr3:uid="{30C0A10A-6AE8-4A0D-895F-37589EE65052}" name="Sales" dataDxfId="216" totalsRowDxfId="215"/>
    <tableColumn id="7" xr3:uid="{8B4B9BD7-B4FF-4E6C-9945-BE70EB6302FE}" name="Quantity" dataDxfId="214" totalsRowDxfId="213"/>
    <tableColumn id="8" xr3:uid="{BC4B57F6-FD90-4D3E-9E74-F1A17A470420}" name="Customer  Name" dataDxfId="212" totalsRowDxfId="211"/>
    <tableColumn id="9" xr3:uid="{B5E6930E-3C62-479C-A411-52B25E67A480}" name="Region" dataDxfId="210" totalsRowDxfId="209"/>
    <tableColumn id="5" xr3:uid="{9DFCBDC3-2A0A-4880-B42A-7924C421686A}" name="Status Check" dataDxfId="208">
      <calculatedColumnFormula>IFERROR(IF(AND(Table1[[#This Row],[Sales]]=0,Table1[[#This Row],[Quantity]]&lt;&gt;0),"Sales Missing",IF(AND(Table1[[#This Row],[Sales]]&lt;&gt;0,Table1[[#This Row],[Quantity]]=0),"Quantity Missing",IF(AND(Table1[[#This Row],[Sales]]=0,Table1[[#This Row],[Quantity]]=0),"Both Missing","Valid Response"))),"No Data")</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C10754-B878-491A-93AC-871A35D53BF4}" name="Table2" displayName="Table2" ref="B6:J348" totalsRowShown="0" headerRowDxfId="205" headerRowBorderDxfId="204" tableBorderDxfId="203">
  <autoFilter ref="B6:J348" xr:uid="{BEB3F400-37F1-46DB-B322-48D473691F58}"/>
  <tableColumns count="9">
    <tableColumn id="1" xr3:uid="{0EC472CF-548B-4C95-9F14-57627937FDD8}" name="OrderID" dataDxfId="202" totalsRowDxfId="201"/>
    <tableColumn id="2" xr3:uid="{BC629B54-D396-4A65-A1C0-6D8549B45C28}" name="Order  Date" dataDxfId="200" totalsRowDxfId="199"/>
    <tableColumn id="3" xr3:uid="{139EA0B7-3A27-4FE8-9CD6-471C23D67EA0}" name="City" dataDxfId="198" totalsRowDxfId="197"/>
    <tableColumn id="4" xr3:uid="{2D75BD64-5A2C-4A1B-8078-4ABC2AA2B58B}" name="Product" dataDxfId="196" totalsRowDxfId="195"/>
    <tableColumn id="5" xr3:uid="{81314979-D4CB-445B-951D-8E264110749B}" name="Sales" dataDxfId="194" totalsRowDxfId="193"/>
    <tableColumn id="6" xr3:uid="{5ECAFA52-0E9B-4BF0-B683-7719A9EA0462}" name="Quantity" dataDxfId="192" totalsRowDxfId="191"/>
    <tableColumn id="7" xr3:uid="{79669EB8-6CDE-4E08-8F11-E4DB33873921}" name="Customer  Name" dataDxfId="190" totalsRowDxfId="189"/>
    <tableColumn id="8" xr3:uid="{181F496B-57BB-4C40-8475-37CD305FCE1D}" name="Region" dataDxfId="188" totalsRowDxfId="187"/>
    <tableColumn id="9" xr3:uid="{677DED61-463A-497D-B2D7-5D933D375F70}" name="Status Check" dataDxfId="186" totalsRowDxfId="18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_Date" xr10:uid="{F8D28FCE-45A4-442D-9931-1A8D709858C1}" sourceName="Order  Date">
  <pivotTables>
    <pivotTable tabId="5" name="PivotTable8"/>
    <pivotTable tabId="5" name="PivotTable2"/>
    <pivotTable tabId="5" name="PivotTable6"/>
    <pivotTable tabId="5" name="PivotTable7"/>
  </pivotTables>
  <state minimalRefreshVersion="6" lastRefreshVersion="6" pivotCacheId="205684203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6F49EDC-05B5-4B07-925D-5D84901A2D8D}" cache="NativeTimeline_Order__Date" caption="Order  Date" showHorizontalScrollbar="0" level="2" selectionLevel="2" scrollPosition="2025-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J505"/>
  <sheetViews>
    <sheetView tabSelected="1" zoomScale="70" zoomScaleNormal="70" workbookViewId="0">
      <selection activeCell="S32" sqref="S32"/>
    </sheetView>
  </sheetViews>
  <sheetFormatPr defaultRowHeight="15" x14ac:dyDescent="0.25"/>
  <sheetData>
    <row r="1" spans="3:10" ht="15.75" thickBot="1" x14ac:dyDescent="0.3"/>
    <row r="2" spans="3:10" x14ac:dyDescent="0.25">
      <c r="D2" s="117" t="s">
        <v>350</v>
      </c>
      <c r="E2" s="118"/>
      <c r="F2" s="118"/>
      <c r="G2" s="118"/>
      <c r="H2" s="119"/>
    </row>
    <row r="3" spans="3:10" ht="15.75" thickBot="1" x14ac:dyDescent="0.3">
      <c r="D3" s="120"/>
      <c r="E3" s="121"/>
      <c r="F3" s="121"/>
      <c r="G3" s="121"/>
      <c r="H3" s="122"/>
    </row>
    <row r="5" spans="3:10" x14ac:dyDescent="0.25">
      <c r="C5" t="s">
        <v>0</v>
      </c>
      <c r="D5" t="s">
        <v>1</v>
      </c>
      <c r="E5" t="s">
        <v>2</v>
      </c>
      <c r="F5" t="s">
        <v>3</v>
      </c>
      <c r="G5" t="s">
        <v>4</v>
      </c>
      <c r="H5" t="s">
        <v>5</v>
      </c>
      <c r="I5" t="s">
        <v>6</v>
      </c>
      <c r="J5" t="s">
        <v>7</v>
      </c>
    </row>
    <row r="6" spans="3:10" x14ac:dyDescent="0.25">
      <c r="C6">
        <v>1001</v>
      </c>
      <c r="D6" t="s">
        <v>8</v>
      </c>
      <c r="E6" t="s">
        <v>9</v>
      </c>
      <c r="F6" t="s">
        <v>10</v>
      </c>
      <c r="G6">
        <v>21000</v>
      </c>
      <c r="H6">
        <v>3</v>
      </c>
      <c r="I6" t="s">
        <v>11</v>
      </c>
      <c r="J6" t="s">
        <v>12</v>
      </c>
    </row>
    <row r="7" spans="3:10" x14ac:dyDescent="0.25">
      <c r="C7">
        <v>1002</v>
      </c>
      <c r="D7" t="s">
        <v>13</v>
      </c>
      <c r="E7" t="s">
        <v>9</v>
      </c>
      <c r="F7" t="s">
        <v>14</v>
      </c>
      <c r="H7">
        <v>2</v>
      </c>
      <c r="I7" t="s">
        <v>15</v>
      </c>
      <c r="J7" t="s">
        <v>16</v>
      </c>
    </row>
    <row r="8" spans="3:10" x14ac:dyDescent="0.25">
      <c r="C8">
        <v>1003</v>
      </c>
      <c r="D8" t="s">
        <v>17</v>
      </c>
      <c r="E8" t="s">
        <v>18</v>
      </c>
      <c r="F8" t="s">
        <v>19</v>
      </c>
      <c r="H8">
        <v>1</v>
      </c>
      <c r="I8" t="s">
        <v>20</v>
      </c>
      <c r="J8" t="s">
        <v>21</v>
      </c>
    </row>
    <row r="9" spans="3:10" x14ac:dyDescent="0.25">
      <c r="C9">
        <v>1004</v>
      </c>
      <c r="D9" t="s">
        <v>22</v>
      </c>
      <c r="E9" t="s">
        <v>23</v>
      </c>
      <c r="F9" t="s">
        <v>10</v>
      </c>
      <c r="G9">
        <v>20000</v>
      </c>
      <c r="I9" t="s">
        <v>24</v>
      </c>
      <c r="J9" t="s">
        <v>12</v>
      </c>
    </row>
    <row r="10" spans="3:10" x14ac:dyDescent="0.25">
      <c r="C10">
        <v>1005</v>
      </c>
      <c r="D10" t="s">
        <v>25</v>
      </c>
      <c r="E10" t="s">
        <v>26</v>
      </c>
      <c r="F10" t="s">
        <v>27</v>
      </c>
      <c r="G10">
        <v>53000</v>
      </c>
      <c r="H10">
        <v>3</v>
      </c>
      <c r="I10" t="s">
        <v>28</v>
      </c>
      <c r="J10" t="s">
        <v>29</v>
      </c>
    </row>
    <row r="11" spans="3:10" x14ac:dyDescent="0.25">
      <c r="C11">
        <v>1006</v>
      </c>
      <c r="D11" t="s">
        <v>30</v>
      </c>
      <c r="E11" t="s">
        <v>26</v>
      </c>
      <c r="F11" t="s">
        <v>27</v>
      </c>
      <c r="H11">
        <v>1</v>
      </c>
      <c r="I11" t="s">
        <v>24</v>
      </c>
      <c r="J11" t="s">
        <v>31</v>
      </c>
    </row>
    <row r="12" spans="3:10" x14ac:dyDescent="0.25">
      <c r="C12">
        <v>1007</v>
      </c>
      <c r="D12" t="s">
        <v>32</v>
      </c>
      <c r="E12" t="s">
        <v>33</v>
      </c>
      <c r="F12" t="s">
        <v>14</v>
      </c>
      <c r="G12">
        <v>15000</v>
      </c>
      <c r="H12">
        <v>2</v>
      </c>
      <c r="I12" t="s">
        <v>34</v>
      </c>
      <c r="J12" t="s">
        <v>21</v>
      </c>
    </row>
    <row r="13" spans="3:10" x14ac:dyDescent="0.25">
      <c r="C13">
        <v>1008</v>
      </c>
      <c r="D13" t="s">
        <v>35</v>
      </c>
      <c r="E13" t="s">
        <v>18</v>
      </c>
      <c r="F13" t="s">
        <v>36</v>
      </c>
      <c r="H13">
        <v>2</v>
      </c>
      <c r="I13" t="s">
        <v>20</v>
      </c>
      <c r="J13" t="s">
        <v>12</v>
      </c>
    </row>
    <row r="14" spans="3:10" x14ac:dyDescent="0.25">
      <c r="C14">
        <v>1009</v>
      </c>
      <c r="D14" t="s">
        <v>37</v>
      </c>
      <c r="E14" t="s">
        <v>23</v>
      </c>
      <c r="F14" t="s">
        <v>19</v>
      </c>
      <c r="G14">
        <v>53000</v>
      </c>
      <c r="H14">
        <v>1</v>
      </c>
      <c r="I14" t="s">
        <v>38</v>
      </c>
      <c r="J14" t="s">
        <v>12</v>
      </c>
    </row>
    <row r="15" spans="3:10" x14ac:dyDescent="0.25">
      <c r="C15">
        <v>1010</v>
      </c>
      <c r="D15" t="s">
        <v>39</v>
      </c>
      <c r="E15" t="s">
        <v>9</v>
      </c>
      <c r="F15" t="s">
        <v>10</v>
      </c>
      <c r="G15">
        <v>52000</v>
      </c>
      <c r="H15">
        <v>2</v>
      </c>
      <c r="I15" t="s">
        <v>28</v>
      </c>
      <c r="J15" t="s">
        <v>16</v>
      </c>
    </row>
    <row r="16" spans="3:10" x14ac:dyDescent="0.25">
      <c r="C16">
        <v>1011</v>
      </c>
      <c r="D16" t="s">
        <v>40</v>
      </c>
      <c r="E16" t="s">
        <v>26</v>
      </c>
      <c r="F16" t="s">
        <v>10</v>
      </c>
      <c r="G16">
        <v>52000</v>
      </c>
      <c r="I16" t="s">
        <v>20</v>
      </c>
      <c r="J16" t="s">
        <v>21</v>
      </c>
    </row>
    <row r="17" spans="3:10" x14ac:dyDescent="0.25">
      <c r="C17">
        <v>1012</v>
      </c>
      <c r="D17" t="s">
        <v>41</v>
      </c>
      <c r="E17" t="s">
        <v>23</v>
      </c>
      <c r="F17" t="s">
        <v>27</v>
      </c>
      <c r="G17">
        <v>21000</v>
      </c>
      <c r="H17">
        <v>2</v>
      </c>
      <c r="I17" t="s">
        <v>15</v>
      </c>
      <c r="J17" t="s">
        <v>12</v>
      </c>
    </row>
    <row r="18" spans="3:10" x14ac:dyDescent="0.25">
      <c r="C18">
        <v>1013</v>
      </c>
      <c r="D18" t="s">
        <v>42</v>
      </c>
      <c r="E18" t="s">
        <v>18</v>
      </c>
      <c r="F18" t="s">
        <v>10</v>
      </c>
      <c r="G18">
        <v>21000</v>
      </c>
      <c r="H18">
        <v>1</v>
      </c>
      <c r="I18" t="s">
        <v>15</v>
      </c>
      <c r="J18" t="s">
        <v>29</v>
      </c>
    </row>
    <row r="19" spans="3:10" x14ac:dyDescent="0.25">
      <c r="C19">
        <v>1014</v>
      </c>
      <c r="D19" t="s">
        <v>43</v>
      </c>
      <c r="E19" t="s">
        <v>9</v>
      </c>
      <c r="F19" t="s">
        <v>19</v>
      </c>
      <c r="G19">
        <v>53000</v>
      </c>
      <c r="H19">
        <v>1</v>
      </c>
      <c r="I19" t="s">
        <v>11</v>
      </c>
      <c r="J19" t="s">
        <v>12</v>
      </c>
    </row>
    <row r="20" spans="3:10" x14ac:dyDescent="0.25">
      <c r="C20">
        <v>1015</v>
      </c>
      <c r="D20" t="s">
        <v>44</v>
      </c>
      <c r="E20" t="s">
        <v>45</v>
      </c>
      <c r="F20" t="s">
        <v>27</v>
      </c>
      <c r="G20">
        <v>48000</v>
      </c>
      <c r="H20">
        <v>3</v>
      </c>
      <c r="I20" t="s">
        <v>46</v>
      </c>
      <c r="J20" t="s">
        <v>21</v>
      </c>
    </row>
    <row r="21" spans="3:10" x14ac:dyDescent="0.25">
      <c r="C21">
        <v>1016</v>
      </c>
      <c r="D21" t="s">
        <v>47</v>
      </c>
      <c r="E21" t="s">
        <v>9</v>
      </c>
      <c r="F21" t="s">
        <v>27</v>
      </c>
      <c r="G21">
        <v>15000</v>
      </c>
      <c r="H21">
        <v>3</v>
      </c>
      <c r="I21" t="s">
        <v>46</v>
      </c>
      <c r="J21" t="s">
        <v>29</v>
      </c>
    </row>
    <row r="22" spans="3:10" x14ac:dyDescent="0.25">
      <c r="C22">
        <v>1017</v>
      </c>
      <c r="D22" t="s">
        <v>48</v>
      </c>
      <c r="E22" t="s">
        <v>49</v>
      </c>
      <c r="F22" t="s">
        <v>27</v>
      </c>
      <c r="G22">
        <v>48000</v>
      </c>
      <c r="H22">
        <v>2</v>
      </c>
      <c r="I22" t="s">
        <v>11</v>
      </c>
      <c r="J22" t="s">
        <v>12</v>
      </c>
    </row>
    <row r="23" spans="3:10" x14ac:dyDescent="0.25">
      <c r="C23">
        <v>1018</v>
      </c>
      <c r="D23" t="s">
        <v>50</v>
      </c>
      <c r="E23" t="s">
        <v>23</v>
      </c>
      <c r="F23" t="s">
        <v>14</v>
      </c>
      <c r="G23">
        <v>48000</v>
      </c>
      <c r="H23">
        <v>1</v>
      </c>
      <c r="I23" t="s">
        <v>34</v>
      </c>
      <c r="J23" t="s">
        <v>21</v>
      </c>
    </row>
    <row r="24" spans="3:10" x14ac:dyDescent="0.25">
      <c r="C24">
        <v>1019</v>
      </c>
      <c r="D24" t="s">
        <v>51</v>
      </c>
      <c r="E24" t="s">
        <v>26</v>
      </c>
      <c r="F24" t="s">
        <v>19</v>
      </c>
      <c r="G24">
        <v>20000</v>
      </c>
      <c r="H24">
        <v>2</v>
      </c>
      <c r="I24" t="s">
        <v>28</v>
      </c>
      <c r="J24" t="s">
        <v>16</v>
      </c>
    </row>
    <row r="25" spans="3:10" x14ac:dyDescent="0.25">
      <c r="C25">
        <v>1020</v>
      </c>
      <c r="D25" t="s">
        <v>52</v>
      </c>
      <c r="E25" t="s">
        <v>33</v>
      </c>
      <c r="F25" t="s">
        <v>27</v>
      </c>
      <c r="G25">
        <v>53000</v>
      </c>
      <c r="I25" t="s">
        <v>11</v>
      </c>
      <c r="J25" t="s">
        <v>53</v>
      </c>
    </row>
    <row r="26" spans="3:10" x14ac:dyDescent="0.25">
      <c r="C26">
        <v>1021</v>
      </c>
      <c r="D26" t="s">
        <v>54</v>
      </c>
      <c r="E26" t="s">
        <v>45</v>
      </c>
      <c r="F26" t="s">
        <v>19</v>
      </c>
      <c r="G26">
        <v>53000</v>
      </c>
      <c r="H26">
        <v>1</v>
      </c>
      <c r="I26" t="s">
        <v>34</v>
      </c>
      <c r="J26" t="s">
        <v>31</v>
      </c>
    </row>
    <row r="27" spans="3:10" x14ac:dyDescent="0.25">
      <c r="C27">
        <v>1022</v>
      </c>
      <c r="D27" t="s">
        <v>55</v>
      </c>
      <c r="E27" t="s">
        <v>9</v>
      </c>
      <c r="F27" t="s">
        <v>14</v>
      </c>
      <c r="G27">
        <v>21000</v>
      </c>
      <c r="I27" t="s">
        <v>38</v>
      </c>
      <c r="J27" t="s">
        <v>12</v>
      </c>
    </row>
    <row r="28" spans="3:10" x14ac:dyDescent="0.25">
      <c r="C28">
        <v>1023</v>
      </c>
      <c r="D28" t="s">
        <v>56</v>
      </c>
      <c r="E28" t="s">
        <v>49</v>
      </c>
      <c r="F28" t="s">
        <v>19</v>
      </c>
      <c r="G28">
        <v>55000</v>
      </c>
      <c r="H28">
        <v>2</v>
      </c>
      <c r="I28" t="s">
        <v>15</v>
      </c>
      <c r="J28" t="s">
        <v>21</v>
      </c>
    </row>
    <row r="29" spans="3:10" x14ac:dyDescent="0.25">
      <c r="C29">
        <v>1024</v>
      </c>
      <c r="D29" t="s">
        <v>57</v>
      </c>
      <c r="E29" t="s">
        <v>49</v>
      </c>
      <c r="F29" t="s">
        <v>27</v>
      </c>
      <c r="G29">
        <v>15000</v>
      </c>
      <c r="H29">
        <v>3</v>
      </c>
      <c r="I29" t="s">
        <v>28</v>
      </c>
      <c r="J29" t="s">
        <v>12</v>
      </c>
    </row>
    <row r="30" spans="3:10" x14ac:dyDescent="0.25">
      <c r="C30">
        <v>1025</v>
      </c>
      <c r="D30" t="s">
        <v>58</v>
      </c>
      <c r="E30" t="s">
        <v>45</v>
      </c>
      <c r="F30" t="s">
        <v>27</v>
      </c>
      <c r="G30">
        <v>52000</v>
      </c>
      <c r="H30">
        <v>2</v>
      </c>
      <c r="I30" t="s">
        <v>28</v>
      </c>
      <c r="J30" t="s">
        <v>12</v>
      </c>
    </row>
    <row r="31" spans="3:10" x14ac:dyDescent="0.25">
      <c r="C31">
        <v>1026</v>
      </c>
      <c r="D31" t="s">
        <v>59</v>
      </c>
      <c r="E31" t="s">
        <v>33</v>
      </c>
      <c r="F31" t="s">
        <v>10</v>
      </c>
      <c r="G31">
        <v>15000</v>
      </c>
      <c r="H31">
        <v>1</v>
      </c>
      <c r="I31" t="s">
        <v>24</v>
      </c>
      <c r="J31" t="s">
        <v>16</v>
      </c>
    </row>
    <row r="32" spans="3:10" x14ac:dyDescent="0.25">
      <c r="C32">
        <v>1027</v>
      </c>
      <c r="D32" t="s">
        <v>60</v>
      </c>
      <c r="E32" t="s">
        <v>45</v>
      </c>
      <c r="F32" t="s">
        <v>27</v>
      </c>
      <c r="G32">
        <v>15000</v>
      </c>
      <c r="I32" t="s">
        <v>11</v>
      </c>
      <c r="J32" t="s">
        <v>29</v>
      </c>
    </row>
    <row r="33" spans="3:10" x14ac:dyDescent="0.25">
      <c r="C33">
        <v>1028</v>
      </c>
      <c r="D33" t="s">
        <v>61</v>
      </c>
      <c r="E33" t="s">
        <v>23</v>
      </c>
      <c r="F33" t="s">
        <v>19</v>
      </c>
      <c r="G33">
        <v>52000</v>
      </c>
      <c r="H33">
        <v>3</v>
      </c>
      <c r="I33" t="s">
        <v>11</v>
      </c>
      <c r="J33" t="s">
        <v>16</v>
      </c>
    </row>
    <row r="34" spans="3:10" x14ac:dyDescent="0.25">
      <c r="C34">
        <v>1029</v>
      </c>
      <c r="D34" t="s">
        <v>62</v>
      </c>
      <c r="E34" t="s">
        <v>49</v>
      </c>
      <c r="F34" t="s">
        <v>27</v>
      </c>
      <c r="G34">
        <v>52000</v>
      </c>
      <c r="H34">
        <v>2</v>
      </c>
      <c r="I34" t="s">
        <v>46</v>
      </c>
      <c r="J34" t="s">
        <v>12</v>
      </c>
    </row>
    <row r="35" spans="3:10" x14ac:dyDescent="0.25">
      <c r="C35">
        <v>1030</v>
      </c>
      <c r="D35" t="s">
        <v>63</v>
      </c>
      <c r="E35" t="s">
        <v>45</v>
      </c>
      <c r="F35" t="s">
        <v>27</v>
      </c>
      <c r="G35">
        <v>48000</v>
      </c>
      <c r="H35">
        <v>1</v>
      </c>
      <c r="I35" t="s">
        <v>34</v>
      </c>
      <c r="J35" t="s">
        <v>12</v>
      </c>
    </row>
    <row r="36" spans="3:10" x14ac:dyDescent="0.25">
      <c r="C36">
        <v>1031</v>
      </c>
      <c r="D36" t="s">
        <v>64</v>
      </c>
      <c r="E36" t="s">
        <v>18</v>
      </c>
      <c r="F36" t="s">
        <v>27</v>
      </c>
      <c r="G36">
        <v>15000</v>
      </c>
      <c r="H36">
        <v>1</v>
      </c>
      <c r="I36" t="s">
        <v>34</v>
      </c>
      <c r="J36" t="s">
        <v>16</v>
      </c>
    </row>
    <row r="37" spans="3:10" x14ac:dyDescent="0.25">
      <c r="C37">
        <v>1032</v>
      </c>
      <c r="D37" t="s">
        <v>65</v>
      </c>
      <c r="E37" t="s">
        <v>23</v>
      </c>
      <c r="F37" t="s">
        <v>19</v>
      </c>
      <c r="G37">
        <v>52000</v>
      </c>
      <c r="I37" t="s">
        <v>24</v>
      </c>
      <c r="J37" t="s">
        <v>29</v>
      </c>
    </row>
    <row r="38" spans="3:10" x14ac:dyDescent="0.25">
      <c r="C38">
        <v>1033</v>
      </c>
      <c r="D38" t="s">
        <v>66</v>
      </c>
      <c r="E38" t="s">
        <v>18</v>
      </c>
      <c r="F38" t="s">
        <v>27</v>
      </c>
      <c r="G38">
        <v>20000</v>
      </c>
      <c r="H38">
        <v>3</v>
      </c>
      <c r="I38" t="s">
        <v>20</v>
      </c>
      <c r="J38" t="s">
        <v>12</v>
      </c>
    </row>
    <row r="39" spans="3:10" x14ac:dyDescent="0.25">
      <c r="C39">
        <v>1034</v>
      </c>
      <c r="D39" t="s">
        <v>67</v>
      </c>
      <c r="E39" t="s">
        <v>18</v>
      </c>
      <c r="F39" t="s">
        <v>36</v>
      </c>
      <c r="G39">
        <v>20000</v>
      </c>
      <c r="H39">
        <v>3</v>
      </c>
      <c r="I39" t="s">
        <v>28</v>
      </c>
      <c r="J39" t="s">
        <v>53</v>
      </c>
    </row>
    <row r="40" spans="3:10" x14ac:dyDescent="0.25">
      <c r="C40">
        <v>1035</v>
      </c>
      <c r="D40" t="s">
        <v>68</v>
      </c>
      <c r="E40" t="s">
        <v>45</v>
      </c>
      <c r="F40" t="s">
        <v>27</v>
      </c>
      <c r="H40">
        <v>1</v>
      </c>
      <c r="I40" t="s">
        <v>38</v>
      </c>
      <c r="J40" t="s">
        <v>21</v>
      </c>
    </row>
    <row r="41" spans="3:10" x14ac:dyDescent="0.25">
      <c r="C41">
        <v>1036</v>
      </c>
      <c r="D41" t="s">
        <v>69</v>
      </c>
      <c r="E41" t="s">
        <v>9</v>
      </c>
      <c r="F41" t="s">
        <v>14</v>
      </c>
      <c r="G41">
        <v>15000</v>
      </c>
      <c r="H41">
        <v>3</v>
      </c>
      <c r="I41" t="s">
        <v>46</v>
      </c>
      <c r="J41" t="s">
        <v>31</v>
      </c>
    </row>
    <row r="42" spans="3:10" x14ac:dyDescent="0.25">
      <c r="C42">
        <v>1037</v>
      </c>
      <c r="D42" t="s">
        <v>70</v>
      </c>
      <c r="E42" t="s">
        <v>9</v>
      </c>
      <c r="F42" t="s">
        <v>14</v>
      </c>
      <c r="G42">
        <v>55000</v>
      </c>
      <c r="H42">
        <v>1</v>
      </c>
      <c r="I42" t="s">
        <v>46</v>
      </c>
      <c r="J42" t="s">
        <v>16</v>
      </c>
    </row>
    <row r="43" spans="3:10" x14ac:dyDescent="0.25">
      <c r="C43">
        <v>1038</v>
      </c>
      <c r="D43" t="s">
        <v>71</v>
      </c>
      <c r="E43" t="s">
        <v>49</v>
      </c>
      <c r="F43" t="s">
        <v>36</v>
      </c>
      <c r="G43">
        <v>20000</v>
      </c>
      <c r="H43">
        <v>2</v>
      </c>
      <c r="I43" t="s">
        <v>24</v>
      </c>
      <c r="J43" t="s">
        <v>29</v>
      </c>
    </row>
    <row r="44" spans="3:10" x14ac:dyDescent="0.25">
      <c r="C44">
        <v>1039</v>
      </c>
      <c r="D44" t="s">
        <v>72</v>
      </c>
      <c r="E44" t="s">
        <v>23</v>
      </c>
      <c r="F44" t="s">
        <v>19</v>
      </c>
      <c r="G44">
        <v>20000</v>
      </c>
      <c r="H44">
        <v>3</v>
      </c>
      <c r="I44" t="s">
        <v>28</v>
      </c>
      <c r="J44" t="s">
        <v>53</v>
      </c>
    </row>
    <row r="45" spans="3:10" x14ac:dyDescent="0.25">
      <c r="C45">
        <v>1040</v>
      </c>
      <c r="D45" t="s">
        <v>73</v>
      </c>
      <c r="E45" t="s">
        <v>18</v>
      </c>
      <c r="F45" t="s">
        <v>27</v>
      </c>
      <c r="H45">
        <v>1</v>
      </c>
      <c r="I45" t="s">
        <v>34</v>
      </c>
      <c r="J45" t="s">
        <v>12</v>
      </c>
    </row>
    <row r="46" spans="3:10" x14ac:dyDescent="0.25">
      <c r="C46">
        <v>1041</v>
      </c>
      <c r="D46" t="s">
        <v>74</v>
      </c>
      <c r="E46" t="s">
        <v>33</v>
      </c>
      <c r="F46" t="s">
        <v>19</v>
      </c>
      <c r="G46">
        <v>48000</v>
      </c>
      <c r="H46">
        <v>1</v>
      </c>
      <c r="I46" t="s">
        <v>24</v>
      </c>
      <c r="J46" t="s">
        <v>31</v>
      </c>
    </row>
    <row r="47" spans="3:10" x14ac:dyDescent="0.25">
      <c r="C47">
        <v>1042</v>
      </c>
      <c r="D47" t="s">
        <v>75</v>
      </c>
      <c r="E47" t="s">
        <v>49</v>
      </c>
      <c r="F47" t="s">
        <v>27</v>
      </c>
      <c r="G47">
        <v>55000</v>
      </c>
      <c r="H47">
        <v>3</v>
      </c>
      <c r="I47" t="s">
        <v>24</v>
      </c>
      <c r="J47" t="s">
        <v>12</v>
      </c>
    </row>
    <row r="48" spans="3:10" x14ac:dyDescent="0.25">
      <c r="C48">
        <v>1043</v>
      </c>
      <c r="D48" t="s">
        <v>76</v>
      </c>
      <c r="E48" t="s">
        <v>49</v>
      </c>
      <c r="F48" t="s">
        <v>19</v>
      </c>
      <c r="G48">
        <v>20000</v>
      </c>
      <c r="H48">
        <v>2</v>
      </c>
      <c r="I48" t="s">
        <v>38</v>
      </c>
      <c r="J48" t="s">
        <v>16</v>
      </c>
    </row>
    <row r="49" spans="3:10" x14ac:dyDescent="0.25">
      <c r="C49">
        <v>1044</v>
      </c>
      <c r="D49" t="s">
        <v>77</v>
      </c>
      <c r="E49" t="s">
        <v>23</v>
      </c>
      <c r="F49" t="s">
        <v>27</v>
      </c>
      <c r="G49">
        <v>48000</v>
      </c>
      <c r="H49">
        <v>2</v>
      </c>
      <c r="I49" t="s">
        <v>38</v>
      </c>
      <c r="J49" t="s">
        <v>29</v>
      </c>
    </row>
    <row r="50" spans="3:10" x14ac:dyDescent="0.25">
      <c r="C50">
        <v>1045</v>
      </c>
      <c r="D50" t="s">
        <v>78</v>
      </c>
      <c r="E50" t="s">
        <v>45</v>
      </c>
      <c r="F50" t="s">
        <v>19</v>
      </c>
      <c r="G50">
        <v>53000</v>
      </c>
      <c r="H50">
        <v>3</v>
      </c>
      <c r="I50" t="s">
        <v>46</v>
      </c>
      <c r="J50" t="s">
        <v>12</v>
      </c>
    </row>
    <row r="51" spans="3:10" x14ac:dyDescent="0.25">
      <c r="C51">
        <v>1046</v>
      </c>
      <c r="D51" t="s">
        <v>79</v>
      </c>
      <c r="E51" t="s">
        <v>49</v>
      </c>
      <c r="F51" t="s">
        <v>14</v>
      </c>
      <c r="G51">
        <v>48000</v>
      </c>
      <c r="H51">
        <v>2</v>
      </c>
      <c r="I51" t="s">
        <v>15</v>
      </c>
      <c r="J51" t="s">
        <v>31</v>
      </c>
    </row>
    <row r="52" spans="3:10" x14ac:dyDescent="0.25">
      <c r="C52">
        <v>1047</v>
      </c>
      <c r="D52" t="s">
        <v>80</v>
      </c>
      <c r="E52" t="s">
        <v>49</v>
      </c>
      <c r="F52" t="s">
        <v>10</v>
      </c>
      <c r="G52">
        <v>55000</v>
      </c>
      <c r="H52">
        <v>3</v>
      </c>
      <c r="I52" t="s">
        <v>38</v>
      </c>
      <c r="J52" t="s">
        <v>12</v>
      </c>
    </row>
    <row r="53" spans="3:10" x14ac:dyDescent="0.25">
      <c r="C53">
        <v>1048</v>
      </c>
      <c r="D53" t="s">
        <v>81</v>
      </c>
      <c r="E53" t="s">
        <v>23</v>
      </c>
      <c r="F53" t="s">
        <v>10</v>
      </c>
      <c r="G53">
        <v>52000</v>
      </c>
      <c r="I53" t="s">
        <v>46</v>
      </c>
      <c r="J53" t="s">
        <v>12</v>
      </c>
    </row>
    <row r="54" spans="3:10" x14ac:dyDescent="0.25">
      <c r="C54">
        <v>1049</v>
      </c>
      <c r="D54" t="s">
        <v>82</v>
      </c>
      <c r="E54" t="s">
        <v>26</v>
      </c>
      <c r="F54" t="s">
        <v>14</v>
      </c>
      <c r="G54">
        <v>52000</v>
      </c>
      <c r="I54" t="s">
        <v>28</v>
      </c>
      <c r="J54" t="s">
        <v>31</v>
      </c>
    </row>
    <row r="55" spans="3:10" x14ac:dyDescent="0.25">
      <c r="C55">
        <v>1050</v>
      </c>
      <c r="D55" t="s">
        <v>83</v>
      </c>
      <c r="E55" t="s">
        <v>49</v>
      </c>
      <c r="F55" t="s">
        <v>19</v>
      </c>
      <c r="G55">
        <v>15000</v>
      </c>
      <c r="H55">
        <v>1</v>
      </c>
      <c r="I55" t="s">
        <v>38</v>
      </c>
      <c r="J55" t="s">
        <v>31</v>
      </c>
    </row>
    <row r="56" spans="3:10" x14ac:dyDescent="0.25">
      <c r="C56">
        <v>1051</v>
      </c>
      <c r="D56" t="s">
        <v>84</v>
      </c>
      <c r="E56" t="s">
        <v>33</v>
      </c>
      <c r="F56" t="s">
        <v>36</v>
      </c>
      <c r="G56">
        <v>15000</v>
      </c>
      <c r="I56" t="s">
        <v>24</v>
      </c>
      <c r="J56" t="s">
        <v>12</v>
      </c>
    </row>
    <row r="57" spans="3:10" x14ac:dyDescent="0.25">
      <c r="C57">
        <v>1052</v>
      </c>
      <c r="D57" t="s">
        <v>85</v>
      </c>
      <c r="E57" t="s">
        <v>9</v>
      </c>
      <c r="F57" t="s">
        <v>19</v>
      </c>
      <c r="G57">
        <v>52000</v>
      </c>
      <c r="H57">
        <v>1</v>
      </c>
      <c r="I57" t="s">
        <v>11</v>
      </c>
      <c r="J57" t="s">
        <v>16</v>
      </c>
    </row>
    <row r="58" spans="3:10" x14ac:dyDescent="0.25">
      <c r="C58">
        <v>1053</v>
      </c>
      <c r="D58" t="s">
        <v>86</v>
      </c>
      <c r="E58" t="s">
        <v>26</v>
      </c>
      <c r="F58" t="s">
        <v>36</v>
      </c>
      <c r="G58">
        <v>55000</v>
      </c>
      <c r="H58">
        <v>3</v>
      </c>
      <c r="I58" t="s">
        <v>38</v>
      </c>
      <c r="J58" t="s">
        <v>16</v>
      </c>
    </row>
    <row r="59" spans="3:10" x14ac:dyDescent="0.25">
      <c r="C59">
        <v>1054</v>
      </c>
      <c r="D59" t="s">
        <v>87</v>
      </c>
      <c r="E59" t="s">
        <v>9</v>
      </c>
      <c r="F59" t="s">
        <v>14</v>
      </c>
      <c r="G59">
        <v>21000</v>
      </c>
      <c r="H59">
        <v>1</v>
      </c>
      <c r="I59" t="s">
        <v>28</v>
      </c>
      <c r="J59" t="s">
        <v>31</v>
      </c>
    </row>
    <row r="60" spans="3:10" x14ac:dyDescent="0.25">
      <c r="C60">
        <v>1055</v>
      </c>
      <c r="D60" t="s">
        <v>88</v>
      </c>
      <c r="E60" t="s">
        <v>26</v>
      </c>
      <c r="F60" t="s">
        <v>14</v>
      </c>
      <c r="G60">
        <v>55000</v>
      </c>
      <c r="H60">
        <v>2</v>
      </c>
      <c r="I60" t="s">
        <v>38</v>
      </c>
      <c r="J60" t="s">
        <v>29</v>
      </c>
    </row>
    <row r="61" spans="3:10" x14ac:dyDescent="0.25">
      <c r="C61">
        <v>1056</v>
      </c>
      <c r="D61" t="s">
        <v>89</v>
      </c>
      <c r="E61" t="s">
        <v>33</v>
      </c>
      <c r="F61" t="s">
        <v>36</v>
      </c>
      <c r="G61">
        <v>48000</v>
      </c>
      <c r="H61">
        <v>2</v>
      </c>
      <c r="I61" t="s">
        <v>28</v>
      </c>
      <c r="J61" t="s">
        <v>53</v>
      </c>
    </row>
    <row r="62" spans="3:10" x14ac:dyDescent="0.25">
      <c r="C62">
        <v>1057</v>
      </c>
      <c r="D62" t="s">
        <v>90</v>
      </c>
      <c r="E62" t="s">
        <v>18</v>
      </c>
      <c r="F62" t="s">
        <v>27</v>
      </c>
      <c r="G62">
        <v>52000</v>
      </c>
      <c r="H62">
        <v>2</v>
      </c>
      <c r="I62" t="s">
        <v>24</v>
      </c>
      <c r="J62" t="s">
        <v>16</v>
      </c>
    </row>
    <row r="63" spans="3:10" x14ac:dyDescent="0.25">
      <c r="C63">
        <v>1058</v>
      </c>
      <c r="D63" t="s">
        <v>91</v>
      </c>
      <c r="E63" t="s">
        <v>23</v>
      </c>
      <c r="F63" t="s">
        <v>36</v>
      </c>
      <c r="G63">
        <v>21000</v>
      </c>
      <c r="H63">
        <v>2</v>
      </c>
      <c r="I63" t="s">
        <v>11</v>
      </c>
      <c r="J63" t="s">
        <v>53</v>
      </c>
    </row>
    <row r="64" spans="3:10" x14ac:dyDescent="0.25">
      <c r="C64">
        <v>1059</v>
      </c>
      <c r="D64" t="s">
        <v>92</v>
      </c>
      <c r="E64" t="s">
        <v>18</v>
      </c>
      <c r="F64" t="s">
        <v>27</v>
      </c>
      <c r="G64">
        <v>48000</v>
      </c>
      <c r="H64">
        <v>3</v>
      </c>
      <c r="I64" t="s">
        <v>28</v>
      </c>
      <c r="J64" t="s">
        <v>16</v>
      </c>
    </row>
    <row r="65" spans="3:10" x14ac:dyDescent="0.25">
      <c r="C65">
        <v>1060</v>
      </c>
      <c r="D65" t="s">
        <v>93</v>
      </c>
      <c r="E65" t="s">
        <v>26</v>
      </c>
      <c r="F65" t="s">
        <v>36</v>
      </c>
      <c r="G65">
        <v>21000</v>
      </c>
      <c r="I65" t="s">
        <v>38</v>
      </c>
      <c r="J65" t="s">
        <v>31</v>
      </c>
    </row>
    <row r="66" spans="3:10" x14ac:dyDescent="0.25">
      <c r="C66">
        <v>1061</v>
      </c>
      <c r="D66" t="s">
        <v>94</v>
      </c>
      <c r="E66" t="s">
        <v>23</v>
      </c>
      <c r="F66" t="s">
        <v>27</v>
      </c>
      <c r="G66">
        <v>21000</v>
      </c>
      <c r="H66">
        <v>2</v>
      </c>
      <c r="I66" t="s">
        <v>24</v>
      </c>
      <c r="J66" t="s">
        <v>53</v>
      </c>
    </row>
    <row r="67" spans="3:10" x14ac:dyDescent="0.25">
      <c r="C67">
        <v>1062</v>
      </c>
      <c r="D67" t="s">
        <v>95</v>
      </c>
      <c r="E67" t="s">
        <v>26</v>
      </c>
      <c r="F67" t="s">
        <v>14</v>
      </c>
      <c r="G67">
        <v>55000</v>
      </c>
      <c r="H67">
        <v>3</v>
      </c>
      <c r="I67" t="s">
        <v>34</v>
      </c>
      <c r="J67" t="s">
        <v>12</v>
      </c>
    </row>
    <row r="68" spans="3:10" x14ac:dyDescent="0.25">
      <c r="C68">
        <v>1063</v>
      </c>
      <c r="D68" t="s">
        <v>96</v>
      </c>
      <c r="E68" t="s">
        <v>26</v>
      </c>
      <c r="F68" t="s">
        <v>36</v>
      </c>
      <c r="I68" t="s">
        <v>38</v>
      </c>
      <c r="J68" t="s">
        <v>21</v>
      </c>
    </row>
    <row r="69" spans="3:10" x14ac:dyDescent="0.25">
      <c r="C69">
        <v>1064</v>
      </c>
      <c r="D69" t="s">
        <v>97</v>
      </c>
      <c r="E69" t="s">
        <v>49</v>
      </c>
      <c r="F69" t="s">
        <v>36</v>
      </c>
      <c r="G69">
        <v>21000</v>
      </c>
      <c r="H69">
        <v>2</v>
      </c>
      <c r="I69" t="s">
        <v>38</v>
      </c>
      <c r="J69" t="s">
        <v>12</v>
      </c>
    </row>
    <row r="70" spans="3:10" x14ac:dyDescent="0.25">
      <c r="C70">
        <v>1065</v>
      </c>
      <c r="D70" t="s">
        <v>98</v>
      </c>
      <c r="E70" t="s">
        <v>18</v>
      </c>
      <c r="F70" t="s">
        <v>27</v>
      </c>
      <c r="H70">
        <v>1</v>
      </c>
      <c r="I70" t="s">
        <v>24</v>
      </c>
      <c r="J70" t="s">
        <v>16</v>
      </c>
    </row>
    <row r="71" spans="3:10" x14ac:dyDescent="0.25">
      <c r="C71">
        <v>1066</v>
      </c>
      <c r="D71" t="s">
        <v>99</v>
      </c>
      <c r="E71" t="s">
        <v>33</v>
      </c>
      <c r="F71" t="s">
        <v>14</v>
      </c>
      <c r="G71">
        <v>21000</v>
      </c>
      <c r="H71">
        <v>3</v>
      </c>
      <c r="I71" t="s">
        <v>20</v>
      </c>
      <c r="J71" t="s">
        <v>29</v>
      </c>
    </row>
    <row r="72" spans="3:10" x14ac:dyDescent="0.25">
      <c r="C72">
        <v>1067</v>
      </c>
      <c r="D72" t="s">
        <v>100</v>
      </c>
      <c r="E72" t="s">
        <v>23</v>
      </c>
      <c r="F72" t="s">
        <v>19</v>
      </c>
      <c r="G72">
        <v>53000</v>
      </c>
      <c r="H72">
        <v>1</v>
      </c>
      <c r="I72" t="s">
        <v>11</v>
      </c>
      <c r="J72" t="s">
        <v>29</v>
      </c>
    </row>
    <row r="73" spans="3:10" x14ac:dyDescent="0.25">
      <c r="C73">
        <v>1068</v>
      </c>
      <c r="D73" t="s">
        <v>101</v>
      </c>
      <c r="E73" t="s">
        <v>18</v>
      </c>
      <c r="F73" t="s">
        <v>19</v>
      </c>
      <c r="G73">
        <v>20000</v>
      </c>
      <c r="H73">
        <v>3</v>
      </c>
      <c r="I73" t="s">
        <v>11</v>
      </c>
      <c r="J73" t="s">
        <v>53</v>
      </c>
    </row>
    <row r="74" spans="3:10" x14ac:dyDescent="0.25">
      <c r="C74">
        <v>1069</v>
      </c>
      <c r="D74" t="s">
        <v>102</v>
      </c>
      <c r="E74" t="s">
        <v>9</v>
      </c>
      <c r="F74" t="s">
        <v>14</v>
      </c>
      <c r="G74">
        <v>55000</v>
      </c>
      <c r="H74">
        <v>1</v>
      </c>
      <c r="I74" t="s">
        <v>34</v>
      </c>
      <c r="J74" t="s">
        <v>53</v>
      </c>
    </row>
    <row r="75" spans="3:10" x14ac:dyDescent="0.25">
      <c r="C75">
        <v>1070</v>
      </c>
      <c r="D75" t="s">
        <v>103</v>
      </c>
      <c r="E75" t="s">
        <v>45</v>
      </c>
      <c r="F75" t="s">
        <v>14</v>
      </c>
      <c r="I75" t="s">
        <v>20</v>
      </c>
      <c r="J75" t="s">
        <v>16</v>
      </c>
    </row>
    <row r="76" spans="3:10" x14ac:dyDescent="0.25">
      <c r="C76">
        <v>1071</v>
      </c>
      <c r="D76" t="s">
        <v>104</v>
      </c>
      <c r="E76" t="s">
        <v>23</v>
      </c>
      <c r="F76" t="s">
        <v>10</v>
      </c>
      <c r="G76">
        <v>20000</v>
      </c>
      <c r="I76" t="s">
        <v>24</v>
      </c>
      <c r="J76" t="s">
        <v>31</v>
      </c>
    </row>
    <row r="77" spans="3:10" x14ac:dyDescent="0.25">
      <c r="C77">
        <v>1072</v>
      </c>
      <c r="D77" t="s">
        <v>105</v>
      </c>
      <c r="E77" t="s">
        <v>23</v>
      </c>
      <c r="F77" t="s">
        <v>10</v>
      </c>
      <c r="H77">
        <v>3</v>
      </c>
      <c r="I77" t="s">
        <v>15</v>
      </c>
      <c r="J77" t="s">
        <v>12</v>
      </c>
    </row>
    <row r="78" spans="3:10" x14ac:dyDescent="0.25">
      <c r="C78">
        <v>1073</v>
      </c>
      <c r="D78" t="s">
        <v>106</v>
      </c>
      <c r="E78" t="s">
        <v>33</v>
      </c>
      <c r="F78" t="s">
        <v>14</v>
      </c>
      <c r="G78">
        <v>21000</v>
      </c>
      <c r="H78">
        <v>2</v>
      </c>
      <c r="I78" t="s">
        <v>20</v>
      </c>
      <c r="J78" t="s">
        <v>31</v>
      </c>
    </row>
    <row r="79" spans="3:10" x14ac:dyDescent="0.25">
      <c r="C79">
        <v>1074</v>
      </c>
      <c r="D79" t="s">
        <v>107</v>
      </c>
      <c r="E79" t="s">
        <v>49</v>
      </c>
      <c r="F79" t="s">
        <v>10</v>
      </c>
      <c r="G79">
        <v>55000</v>
      </c>
      <c r="I79" t="s">
        <v>46</v>
      </c>
      <c r="J79" t="s">
        <v>29</v>
      </c>
    </row>
    <row r="80" spans="3:10" x14ac:dyDescent="0.25">
      <c r="C80">
        <v>1075</v>
      </c>
      <c r="D80" t="s">
        <v>108</v>
      </c>
      <c r="E80" t="s">
        <v>23</v>
      </c>
      <c r="F80" t="s">
        <v>27</v>
      </c>
      <c r="G80">
        <v>21000</v>
      </c>
      <c r="H80">
        <v>1</v>
      </c>
      <c r="I80" t="s">
        <v>34</v>
      </c>
      <c r="J80" t="s">
        <v>29</v>
      </c>
    </row>
    <row r="81" spans="3:10" x14ac:dyDescent="0.25">
      <c r="C81">
        <v>1076</v>
      </c>
      <c r="D81" t="s">
        <v>109</v>
      </c>
      <c r="E81" t="s">
        <v>26</v>
      </c>
      <c r="F81" t="s">
        <v>36</v>
      </c>
      <c r="G81">
        <v>55000</v>
      </c>
      <c r="I81" t="s">
        <v>11</v>
      </c>
      <c r="J81" t="s">
        <v>21</v>
      </c>
    </row>
    <row r="82" spans="3:10" x14ac:dyDescent="0.25">
      <c r="C82">
        <v>1077</v>
      </c>
      <c r="D82" t="s">
        <v>110</v>
      </c>
      <c r="E82" t="s">
        <v>26</v>
      </c>
      <c r="F82" t="s">
        <v>27</v>
      </c>
      <c r="G82">
        <v>21000</v>
      </c>
      <c r="H82">
        <v>3</v>
      </c>
      <c r="I82" t="s">
        <v>34</v>
      </c>
      <c r="J82" t="s">
        <v>31</v>
      </c>
    </row>
    <row r="83" spans="3:10" x14ac:dyDescent="0.25">
      <c r="C83">
        <v>1078</v>
      </c>
      <c r="D83" t="s">
        <v>111</v>
      </c>
      <c r="E83" t="s">
        <v>33</v>
      </c>
      <c r="F83" t="s">
        <v>27</v>
      </c>
      <c r="G83">
        <v>52000</v>
      </c>
      <c r="H83">
        <v>3</v>
      </c>
      <c r="I83" t="s">
        <v>20</v>
      </c>
      <c r="J83" t="s">
        <v>31</v>
      </c>
    </row>
    <row r="84" spans="3:10" x14ac:dyDescent="0.25">
      <c r="C84">
        <v>1079</v>
      </c>
      <c r="D84" t="s">
        <v>112</v>
      </c>
      <c r="E84" t="s">
        <v>18</v>
      </c>
      <c r="F84" t="s">
        <v>19</v>
      </c>
      <c r="G84">
        <v>21000</v>
      </c>
      <c r="I84" t="s">
        <v>20</v>
      </c>
      <c r="J84" t="s">
        <v>21</v>
      </c>
    </row>
    <row r="85" spans="3:10" x14ac:dyDescent="0.25">
      <c r="C85">
        <v>1080</v>
      </c>
      <c r="D85" t="s">
        <v>113</v>
      </c>
      <c r="E85" t="s">
        <v>26</v>
      </c>
      <c r="F85" t="s">
        <v>36</v>
      </c>
      <c r="G85">
        <v>55000</v>
      </c>
      <c r="H85">
        <v>1</v>
      </c>
      <c r="I85" t="s">
        <v>28</v>
      </c>
      <c r="J85" t="s">
        <v>29</v>
      </c>
    </row>
    <row r="86" spans="3:10" x14ac:dyDescent="0.25">
      <c r="C86">
        <v>1081</v>
      </c>
      <c r="D86" t="s">
        <v>114</v>
      </c>
      <c r="E86" t="s">
        <v>23</v>
      </c>
      <c r="F86" t="s">
        <v>19</v>
      </c>
      <c r="G86">
        <v>53000</v>
      </c>
      <c r="H86">
        <v>3</v>
      </c>
      <c r="I86" t="s">
        <v>28</v>
      </c>
      <c r="J86" t="s">
        <v>12</v>
      </c>
    </row>
    <row r="87" spans="3:10" x14ac:dyDescent="0.25">
      <c r="C87">
        <v>1082</v>
      </c>
      <c r="D87" t="s">
        <v>115</v>
      </c>
      <c r="E87" t="s">
        <v>9</v>
      </c>
      <c r="F87" t="s">
        <v>19</v>
      </c>
      <c r="G87">
        <v>21000</v>
      </c>
      <c r="H87">
        <v>2</v>
      </c>
      <c r="I87" t="s">
        <v>11</v>
      </c>
      <c r="J87" t="s">
        <v>29</v>
      </c>
    </row>
    <row r="88" spans="3:10" x14ac:dyDescent="0.25">
      <c r="C88">
        <v>1083</v>
      </c>
      <c r="D88" t="s">
        <v>116</v>
      </c>
      <c r="E88" t="s">
        <v>23</v>
      </c>
      <c r="F88" t="s">
        <v>27</v>
      </c>
      <c r="G88">
        <v>53000</v>
      </c>
      <c r="I88" t="s">
        <v>46</v>
      </c>
      <c r="J88" t="s">
        <v>31</v>
      </c>
    </row>
    <row r="89" spans="3:10" x14ac:dyDescent="0.25">
      <c r="C89">
        <v>1084</v>
      </c>
      <c r="D89" t="s">
        <v>117</v>
      </c>
      <c r="E89" t="s">
        <v>45</v>
      </c>
      <c r="F89" t="s">
        <v>14</v>
      </c>
      <c r="I89" t="s">
        <v>34</v>
      </c>
      <c r="J89" t="s">
        <v>53</v>
      </c>
    </row>
    <row r="90" spans="3:10" x14ac:dyDescent="0.25">
      <c r="C90">
        <v>1085</v>
      </c>
      <c r="D90" t="s">
        <v>118</v>
      </c>
      <c r="E90" t="s">
        <v>33</v>
      </c>
      <c r="F90" t="s">
        <v>14</v>
      </c>
      <c r="G90">
        <v>55000</v>
      </c>
      <c r="H90">
        <v>2</v>
      </c>
      <c r="I90" t="s">
        <v>24</v>
      </c>
      <c r="J90" t="s">
        <v>31</v>
      </c>
    </row>
    <row r="91" spans="3:10" x14ac:dyDescent="0.25">
      <c r="C91">
        <v>1086</v>
      </c>
      <c r="D91" t="s">
        <v>119</v>
      </c>
      <c r="E91" t="s">
        <v>33</v>
      </c>
      <c r="F91" t="s">
        <v>14</v>
      </c>
      <c r="G91">
        <v>21000</v>
      </c>
      <c r="H91">
        <v>3</v>
      </c>
      <c r="I91" t="s">
        <v>11</v>
      </c>
      <c r="J91" t="s">
        <v>21</v>
      </c>
    </row>
    <row r="92" spans="3:10" x14ac:dyDescent="0.25">
      <c r="C92">
        <v>1087</v>
      </c>
      <c r="D92" t="s">
        <v>120</v>
      </c>
      <c r="E92" t="s">
        <v>26</v>
      </c>
      <c r="F92" t="s">
        <v>10</v>
      </c>
      <c r="G92">
        <v>55000</v>
      </c>
      <c r="H92">
        <v>3</v>
      </c>
      <c r="I92" t="s">
        <v>24</v>
      </c>
      <c r="J92" t="s">
        <v>16</v>
      </c>
    </row>
    <row r="93" spans="3:10" x14ac:dyDescent="0.25">
      <c r="C93">
        <v>1088</v>
      </c>
      <c r="D93" t="s">
        <v>121</v>
      </c>
      <c r="E93" t="s">
        <v>45</v>
      </c>
      <c r="F93" t="s">
        <v>10</v>
      </c>
      <c r="G93">
        <v>53000</v>
      </c>
      <c r="H93">
        <v>3</v>
      </c>
      <c r="I93" t="s">
        <v>20</v>
      </c>
      <c r="J93" t="s">
        <v>12</v>
      </c>
    </row>
    <row r="94" spans="3:10" x14ac:dyDescent="0.25">
      <c r="C94">
        <v>1089</v>
      </c>
      <c r="D94" t="s">
        <v>122</v>
      </c>
      <c r="E94" t="s">
        <v>18</v>
      </c>
      <c r="F94" t="s">
        <v>10</v>
      </c>
      <c r="G94">
        <v>20000</v>
      </c>
      <c r="H94">
        <v>2</v>
      </c>
      <c r="I94" t="s">
        <v>46</v>
      </c>
      <c r="J94" t="s">
        <v>29</v>
      </c>
    </row>
    <row r="95" spans="3:10" x14ac:dyDescent="0.25">
      <c r="C95">
        <v>1090</v>
      </c>
      <c r="D95" t="s">
        <v>123</v>
      </c>
      <c r="E95" t="s">
        <v>26</v>
      </c>
      <c r="F95" t="s">
        <v>27</v>
      </c>
      <c r="H95">
        <v>3</v>
      </c>
      <c r="I95" t="s">
        <v>28</v>
      </c>
      <c r="J95" t="s">
        <v>12</v>
      </c>
    </row>
    <row r="96" spans="3:10" x14ac:dyDescent="0.25">
      <c r="C96">
        <v>1091</v>
      </c>
      <c r="D96" t="s">
        <v>124</v>
      </c>
      <c r="E96" t="s">
        <v>26</v>
      </c>
      <c r="F96" t="s">
        <v>27</v>
      </c>
      <c r="G96">
        <v>20000</v>
      </c>
      <c r="H96">
        <v>2</v>
      </c>
      <c r="I96" t="s">
        <v>38</v>
      </c>
      <c r="J96" t="s">
        <v>53</v>
      </c>
    </row>
    <row r="97" spans="3:10" x14ac:dyDescent="0.25">
      <c r="C97">
        <v>1092</v>
      </c>
      <c r="D97" t="s">
        <v>125</v>
      </c>
      <c r="E97" t="s">
        <v>26</v>
      </c>
      <c r="F97" t="s">
        <v>14</v>
      </c>
      <c r="G97">
        <v>21000</v>
      </c>
      <c r="H97">
        <v>2</v>
      </c>
      <c r="I97" t="s">
        <v>46</v>
      </c>
      <c r="J97" t="s">
        <v>12</v>
      </c>
    </row>
    <row r="98" spans="3:10" x14ac:dyDescent="0.25">
      <c r="C98">
        <v>1093</v>
      </c>
      <c r="D98" t="s">
        <v>126</v>
      </c>
      <c r="E98" t="s">
        <v>45</v>
      </c>
      <c r="F98" t="s">
        <v>14</v>
      </c>
      <c r="G98">
        <v>21000</v>
      </c>
      <c r="H98">
        <v>1</v>
      </c>
      <c r="I98" t="s">
        <v>34</v>
      </c>
      <c r="J98" t="s">
        <v>21</v>
      </c>
    </row>
    <row r="99" spans="3:10" x14ac:dyDescent="0.25">
      <c r="C99">
        <v>1094</v>
      </c>
      <c r="D99" t="s">
        <v>127</v>
      </c>
      <c r="E99" t="s">
        <v>33</v>
      </c>
      <c r="F99" t="s">
        <v>10</v>
      </c>
      <c r="G99">
        <v>55000</v>
      </c>
      <c r="I99" t="s">
        <v>46</v>
      </c>
      <c r="J99" t="s">
        <v>12</v>
      </c>
    </row>
    <row r="100" spans="3:10" x14ac:dyDescent="0.25">
      <c r="C100">
        <v>1095</v>
      </c>
      <c r="D100" t="s">
        <v>128</v>
      </c>
      <c r="E100" t="s">
        <v>23</v>
      </c>
      <c r="F100" t="s">
        <v>36</v>
      </c>
      <c r="G100">
        <v>55000</v>
      </c>
      <c r="H100">
        <v>1</v>
      </c>
      <c r="I100" t="s">
        <v>28</v>
      </c>
      <c r="J100" t="s">
        <v>53</v>
      </c>
    </row>
    <row r="101" spans="3:10" x14ac:dyDescent="0.25">
      <c r="C101">
        <v>1096</v>
      </c>
      <c r="D101" t="s">
        <v>129</v>
      </c>
      <c r="E101" t="s">
        <v>45</v>
      </c>
      <c r="F101" t="s">
        <v>19</v>
      </c>
      <c r="G101">
        <v>15000</v>
      </c>
      <c r="H101">
        <v>1</v>
      </c>
      <c r="I101" t="s">
        <v>24</v>
      </c>
      <c r="J101" t="s">
        <v>12</v>
      </c>
    </row>
    <row r="102" spans="3:10" x14ac:dyDescent="0.25">
      <c r="C102">
        <v>1097</v>
      </c>
      <c r="D102" t="s">
        <v>130</v>
      </c>
      <c r="E102" t="s">
        <v>23</v>
      </c>
      <c r="F102" t="s">
        <v>19</v>
      </c>
      <c r="G102">
        <v>48000</v>
      </c>
      <c r="H102">
        <v>3</v>
      </c>
      <c r="I102" t="s">
        <v>28</v>
      </c>
      <c r="J102" t="s">
        <v>16</v>
      </c>
    </row>
    <row r="103" spans="3:10" x14ac:dyDescent="0.25">
      <c r="C103">
        <v>1098</v>
      </c>
      <c r="D103" t="s">
        <v>131</v>
      </c>
      <c r="E103" t="s">
        <v>9</v>
      </c>
      <c r="F103" t="s">
        <v>14</v>
      </c>
      <c r="G103">
        <v>15000</v>
      </c>
      <c r="H103">
        <v>1</v>
      </c>
      <c r="I103" t="s">
        <v>11</v>
      </c>
      <c r="J103" t="s">
        <v>53</v>
      </c>
    </row>
    <row r="104" spans="3:10" x14ac:dyDescent="0.25">
      <c r="C104">
        <v>1099</v>
      </c>
      <c r="D104" t="s">
        <v>132</v>
      </c>
      <c r="E104" t="s">
        <v>45</v>
      </c>
      <c r="F104" t="s">
        <v>36</v>
      </c>
      <c r="G104">
        <v>21000</v>
      </c>
      <c r="H104">
        <v>2</v>
      </c>
      <c r="I104" t="s">
        <v>11</v>
      </c>
      <c r="J104" t="s">
        <v>12</v>
      </c>
    </row>
    <row r="105" spans="3:10" x14ac:dyDescent="0.25">
      <c r="C105">
        <v>1100</v>
      </c>
      <c r="D105" t="s">
        <v>133</v>
      </c>
      <c r="E105" t="s">
        <v>23</v>
      </c>
      <c r="F105" t="s">
        <v>19</v>
      </c>
      <c r="G105">
        <v>55000</v>
      </c>
      <c r="H105">
        <v>3</v>
      </c>
      <c r="I105" t="s">
        <v>38</v>
      </c>
      <c r="J105" t="s">
        <v>29</v>
      </c>
    </row>
    <row r="106" spans="3:10" x14ac:dyDescent="0.25">
      <c r="C106">
        <v>1101</v>
      </c>
      <c r="D106" t="s">
        <v>134</v>
      </c>
      <c r="E106" t="s">
        <v>33</v>
      </c>
      <c r="F106" t="s">
        <v>27</v>
      </c>
      <c r="G106">
        <v>52000</v>
      </c>
      <c r="I106" t="s">
        <v>38</v>
      </c>
      <c r="J106" t="s">
        <v>29</v>
      </c>
    </row>
    <row r="107" spans="3:10" x14ac:dyDescent="0.25">
      <c r="C107">
        <v>1102</v>
      </c>
      <c r="D107" t="s">
        <v>135</v>
      </c>
      <c r="E107" t="s">
        <v>23</v>
      </c>
      <c r="F107" t="s">
        <v>14</v>
      </c>
      <c r="G107">
        <v>52000</v>
      </c>
      <c r="I107" t="s">
        <v>24</v>
      </c>
      <c r="J107" t="s">
        <v>21</v>
      </c>
    </row>
    <row r="108" spans="3:10" x14ac:dyDescent="0.25">
      <c r="C108">
        <v>1103</v>
      </c>
      <c r="D108" t="s">
        <v>136</v>
      </c>
      <c r="E108" t="s">
        <v>23</v>
      </c>
      <c r="F108" t="s">
        <v>10</v>
      </c>
      <c r="G108">
        <v>55000</v>
      </c>
      <c r="I108" t="s">
        <v>11</v>
      </c>
      <c r="J108" t="s">
        <v>29</v>
      </c>
    </row>
    <row r="109" spans="3:10" x14ac:dyDescent="0.25">
      <c r="C109">
        <v>1104</v>
      </c>
      <c r="D109" t="s">
        <v>137</v>
      </c>
      <c r="E109" t="s">
        <v>18</v>
      </c>
      <c r="F109" t="s">
        <v>14</v>
      </c>
      <c r="G109">
        <v>48000</v>
      </c>
      <c r="H109">
        <v>3</v>
      </c>
      <c r="I109" t="s">
        <v>28</v>
      </c>
      <c r="J109" t="s">
        <v>21</v>
      </c>
    </row>
    <row r="110" spans="3:10" x14ac:dyDescent="0.25">
      <c r="C110">
        <v>1105</v>
      </c>
      <c r="D110" t="s">
        <v>138</v>
      </c>
      <c r="E110" t="s">
        <v>45</v>
      </c>
      <c r="F110" t="s">
        <v>10</v>
      </c>
      <c r="I110" t="s">
        <v>34</v>
      </c>
      <c r="J110" t="s">
        <v>21</v>
      </c>
    </row>
    <row r="111" spans="3:10" x14ac:dyDescent="0.25">
      <c r="C111">
        <v>1106</v>
      </c>
      <c r="D111" t="s">
        <v>139</v>
      </c>
      <c r="E111" t="s">
        <v>45</v>
      </c>
      <c r="F111" t="s">
        <v>36</v>
      </c>
      <c r="G111">
        <v>48000</v>
      </c>
      <c r="H111">
        <v>2</v>
      </c>
      <c r="I111" t="s">
        <v>20</v>
      </c>
      <c r="J111" t="s">
        <v>21</v>
      </c>
    </row>
    <row r="112" spans="3:10" x14ac:dyDescent="0.25">
      <c r="C112">
        <v>1107</v>
      </c>
      <c r="D112" t="s">
        <v>140</v>
      </c>
      <c r="E112" t="s">
        <v>49</v>
      </c>
      <c r="F112" t="s">
        <v>19</v>
      </c>
      <c r="G112">
        <v>52000</v>
      </c>
      <c r="H112">
        <v>1</v>
      </c>
      <c r="I112" t="s">
        <v>34</v>
      </c>
      <c r="J112" t="s">
        <v>16</v>
      </c>
    </row>
    <row r="113" spans="3:10" x14ac:dyDescent="0.25">
      <c r="C113">
        <v>1108</v>
      </c>
      <c r="D113" t="s">
        <v>141</v>
      </c>
      <c r="E113" t="s">
        <v>23</v>
      </c>
      <c r="F113" t="s">
        <v>19</v>
      </c>
      <c r="G113">
        <v>15000</v>
      </c>
      <c r="I113" t="s">
        <v>20</v>
      </c>
      <c r="J113" t="s">
        <v>21</v>
      </c>
    </row>
    <row r="114" spans="3:10" x14ac:dyDescent="0.25">
      <c r="C114">
        <v>1109</v>
      </c>
      <c r="D114" t="s">
        <v>142</v>
      </c>
      <c r="E114" t="s">
        <v>45</v>
      </c>
      <c r="F114" t="s">
        <v>19</v>
      </c>
      <c r="G114">
        <v>15000</v>
      </c>
      <c r="H114">
        <v>1</v>
      </c>
      <c r="I114" t="s">
        <v>38</v>
      </c>
      <c r="J114" t="s">
        <v>31</v>
      </c>
    </row>
    <row r="115" spans="3:10" x14ac:dyDescent="0.25">
      <c r="C115">
        <v>1110</v>
      </c>
      <c r="D115" t="s">
        <v>143</v>
      </c>
      <c r="E115" t="s">
        <v>45</v>
      </c>
      <c r="F115" t="s">
        <v>10</v>
      </c>
      <c r="G115">
        <v>53000</v>
      </c>
      <c r="I115" t="s">
        <v>28</v>
      </c>
      <c r="J115" t="s">
        <v>29</v>
      </c>
    </row>
    <row r="116" spans="3:10" x14ac:dyDescent="0.25">
      <c r="C116">
        <v>1111</v>
      </c>
      <c r="D116" t="s">
        <v>144</v>
      </c>
      <c r="E116" t="s">
        <v>18</v>
      </c>
      <c r="F116" t="s">
        <v>19</v>
      </c>
      <c r="G116">
        <v>55000</v>
      </c>
      <c r="H116">
        <v>1</v>
      </c>
      <c r="I116" t="s">
        <v>38</v>
      </c>
      <c r="J116" t="s">
        <v>29</v>
      </c>
    </row>
    <row r="117" spans="3:10" x14ac:dyDescent="0.25">
      <c r="C117">
        <v>1112</v>
      </c>
      <c r="D117" t="s">
        <v>145</v>
      </c>
      <c r="E117" t="s">
        <v>49</v>
      </c>
      <c r="F117" t="s">
        <v>19</v>
      </c>
      <c r="G117">
        <v>15000</v>
      </c>
      <c r="H117">
        <v>1</v>
      </c>
      <c r="I117" t="s">
        <v>38</v>
      </c>
      <c r="J117" t="s">
        <v>53</v>
      </c>
    </row>
    <row r="118" spans="3:10" x14ac:dyDescent="0.25">
      <c r="C118">
        <v>1113</v>
      </c>
      <c r="D118" t="s">
        <v>146</v>
      </c>
      <c r="E118" t="s">
        <v>9</v>
      </c>
      <c r="F118" t="s">
        <v>36</v>
      </c>
      <c r="G118">
        <v>20000</v>
      </c>
      <c r="H118">
        <v>2</v>
      </c>
      <c r="I118" t="s">
        <v>28</v>
      </c>
      <c r="J118" t="s">
        <v>29</v>
      </c>
    </row>
    <row r="119" spans="3:10" x14ac:dyDescent="0.25">
      <c r="C119">
        <v>1114</v>
      </c>
      <c r="D119" t="s">
        <v>147</v>
      </c>
      <c r="E119" t="s">
        <v>45</v>
      </c>
      <c r="F119" t="s">
        <v>27</v>
      </c>
      <c r="G119">
        <v>53000</v>
      </c>
      <c r="I119" t="s">
        <v>11</v>
      </c>
      <c r="J119" t="s">
        <v>31</v>
      </c>
    </row>
    <row r="120" spans="3:10" x14ac:dyDescent="0.25">
      <c r="C120">
        <v>1115</v>
      </c>
      <c r="D120" t="s">
        <v>148</v>
      </c>
      <c r="E120" t="s">
        <v>18</v>
      </c>
      <c r="F120" t="s">
        <v>14</v>
      </c>
      <c r="H120">
        <v>1</v>
      </c>
      <c r="I120" t="s">
        <v>11</v>
      </c>
      <c r="J120" t="s">
        <v>29</v>
      </c>
    </row>
    <row r="121" spans="3:10" x14ac:dyDescent="0.25">
      <c r="C121">
        <v>1116</v>
      </c>
      <c r="D121" t="s">
        <v>149</v>
      </c>
      <c r="E121" t="s">
        <v>18</v>
      </c>
      <c r="F121" t="s">
        <v>14</v>
      </c>
      <c r="G121">
        <v>21000</v>
      </c>
      <c r="H121">
        <v>3</v>
      </c>
      <c r="I121" t="s">
        <v>34</v>
      </c>
      <c r="J121" t="s">
        <v>16</v>
      </c>
    </row>
    <row r="122" spans="3:10" x14ac:dyDescent="0.25">
      <c r="C122">
        <v>1117</v>
      </c>
      <c r="D122" t="s">
        <v>150</v>
      </c>
      <c r="E122" t="s">
        <v>49</v>
      </c>
      <c r="F122" t="s">
        <v>14</v>
      </c>
      <c r="I122" t="s">
        <v>24</v>
      </c>
      <c r="J122" t="s">
        <v>16</v>
      </c>
    </row>
    <row r="123" spans="3:10" x14ac:dyDescent="0.25">
      <c r="C123">
        <v>1118</v>
      </c>
      <c r="D123" t="s">
        <v>151</v>
      </c>
      <c r="E123" t="s">
        <v>33</v>
      </c>
      <c r="F123" t="s">
        <v>10</v>
      </c>
      <c r="G123">
        <v>20000</v>
      </c>
      <c r="I123" t="s">
        <v>28</v>
      </c>
      <c r="J123" t="s">
        <v>12</v>
      </c>
    </row>
    <row r="124" spans="3:10" x14ac:dyDescent="0.25">
      <c r="C124">
        <v>1119</v>
      </c>
      <c r="D124" t="s">
        <v>152</v>
      </c>
      <c r="E124" t="s">
        <v>9</v>
      </c>
      <c r="F124" t="s">
        <v>19</v>
      </c>
      <c r="G124">
        <v>15000</v>
      </c>
      <c r="H124">
        <v>1</v>
      </c>
      <c r="I124" t="s">
        <v>24</v>
      </c>
      <c r="J124" t="s">
        <v>12</v>
      </c>
    </row>
    <row r="125" spans="3:10" x14ac:dyDescent="0.25">
      <c r="C125">
        <v>1120</v>
      </c>
      <c r="D125" t="s">
        <v>153</v>
      </c>
      <c r="E125" t="s">
        <v>45</v>
      </c>
      <c r="F125" t="s">
        <v>19</v>
      </c>
      <c r="G125">
        <v>15000</v>
      </c>
      <c r="H125">
        <v>2</v>
      </c>
      <c r="I125" t="s">
        <v>46</v>
      </c>
      <c r="J125" t="s">
        <v>16</v>
      </c>
    </row>
    <row r="126" spans="3:10" x14ac:dyDescent="0.25">
      <c r="C126">
        <v>1121</v>
      </c>
      <c r="D126" t="s">
        <v>154</v>
      </c>
      <c r="E126" t="s">
        <v>49</v>
      </c>
      <c r="F126" t="s">
        <v>10</v>
      </c>
      <c r="G126">
        <v>48000</v>
      </c>
      <c r="H126">
        <v>2</v>
      </c>
      <c r="I126" t="s">
        <v>20</v>
      </c>
      <c r="J126" t="s">
        <v>53</v>
      </c>
    </row>
    <row r="127" spans="3:10" x14ac:dyDescent="0.25">
      <c r="C127">
        <v>1122</v>
      </c>
      <c r="D127" t="s">
        <v>155</v>
      </c>
      <c r="E127" t="s">
        <v>33</v>
      </c>
      <c r="F127" t="s">
        <v>19</v>
      </c>
      <c r="G127">
        <v>21000</v>
      </c>
      <c r="H127">
        <v>1</v>
      </c>
      <c r="I127" t="s">
        <v>11</v>
      </c>
      <c r="J127" t="s">
        <v>31</v>
      </c>
    </row>
    <row r="128" spans="3:10" x14ac:dyDescent="0.25">
      <c r="C128">
        <v>1123</v>
      </c>
      <c r="D128" t="s">
        <v>17</v>
      </c>
      <c r="E128" t="s">
        <v>45</v>
      </c>
      <c r="F128" t="s">
        <v>10</v>
      </c>
      <c r="G128">
        <v>21000</v>
      </c>
      <c r="H128">
        <v>3</v>
      </c>
      <c r="I128" t="s">
        <v>34</v>
      </c>
      <c r="J128" t="s">
        <v>53</v>
      </c>
    </row>
    <row r="129" spans="3:10" x14ac:dyDescent="0.25">
      <c r="C129">
        <v>1124</v>
      </c>
      <c r="D129" t="s">
        <v>156</v>
      </c>
      <c r="E129" t="s">
        <v>18</v>
      </c>
      <c r="F129" t="s">
        <v>14</v>
      </c>
      <c r="G129">
        <v>48000</v>
      </c>
      <c r="H129">
        <v>2</v>
      </c>
      <c r="I129" t="s">
        <v>46</v>
      </c>
      <c r="J129" t="s">
        <v>29</v>
      </c>
    </row>
    <row r="130" spans="3:10" x14ac:dyDescent="0.25">
      <c r="C130">
        <v>1125</v>
      </c>
      <c r="D130" t="s">
        <v>25</v>
      </c>
      <c r="E130" t="s">
        <v>45</v>
      </c>
      <c r="F130" t="s">
        <v>14</v>
      </c>
      <c r="H130">
        <v>2</v>
      </c>
      <c r="I130" t="s">
        <v>34</v>
      </c>
      <c r="J130" t="s">
        <v>12</v>
      </c>
    </row>
    <row r="131" spans="3:10" x14ac:dyDescent="0.25">
      <c r="C131">
        <v>1126</v>
      </c>
      <c r="D131" t="s">
        <v>157</v>
      </c>
      <c r="E131" t="s">
        <v>26</v>
      </c>
      <c r="F131" t="s">
        <v>14</v>
      </c>
      <c r="G131">
        <v>48000</v>
      </c>
      <c r="H131">
        <v>3</v>
      </c>
      <c r="I131" t="s">
        <v>34</v>
      </c>
      <c r="J131" t="s">
        <v>31</v>
      </c>
    </row>
    <row r="132" spans="3:10" x14ac:dyDescent="0.25">
      <c r="C132">
        <v>1127</v>
      </c>
      <c r="D132" t="s">
        <v>32</v>
      </c>
      <c r="E132" t="s">
        <v>9</v>
      </c>
      <c r="F132" t="s">
        <v>27</v>
      </c>
      <c r="G132">
        <v>52000</v>
      </c>
      <c r="H132">
        <v>1</v>
      </c>
      <c r="I132" t="s">
        <v>46</v>
      </c>
      <c r="J132" t="s">
        <v>53</v>
      </c>
    </row>
    <row r="133" spans="3:10" x14ac:dyDescent="0.25">
      <c r="C133">
        <v>1128</v>
      </c>
      <c r="D133" t="s">
        <v>35</v>
      </c>
      <c r="E133" t="s">
        <v>33</v>
      </c>
      <c r="F133" t="s">
        <v>19</v>
      </c>
      <c r="G133">
        <v>15000</v>
      </c>
      <c r="H133">
        <v>3</v>
      </c>
      <c r="I133" t="s">
        <v>11</v>
      </c>
      <c r="J133" t="s">
        <v>16</v>
      </c>
    </row>
    <row r="134" spans="3:10" x14ac:dyDescent="0.25">
      <c r="C134">
        <v>1129</v>
      </c>
      <c r="D134" t="s">
        <v>158</v>
      </c>
      <c r="E134" t="s">
        <v>26</v>
      </c>
      <c r="F134" t="s">
        <v>19</v>
      </c>
      <c r="G134">
        <v>52000</v>
      </c>
      <c r="H134">
        <v>1</v>
      </c>
      <c r="I134" t="s">
        <v>28</v>
      </c>
      <c r="J134" t="s">
        <v>12</v>
      </c>
    </row>
    <row r="135" spans="3:10" x14ac:dyDescent="0.25">
      <c r="C135">
        <v>1130</v>
      </c>
      <c r="D135" t="s">
        <v>39</v>
      </c>
      <c r="E135" t="s">
        <v>9</v>
      </c>
      <c r="F135" t="s">
        <v>14</v>
      </c>
      <c r="G135">
        <v>55000</v>
      </c>
      <c r="H135">
        <v>3</v>
      </c>
      <c r="I135" t="s">
        <v>38</v>
      </c>
      <c r="J135" t="s">
        <v>53</v>
      </c>
    </row>
    <row r="136" spans="3:10" x14ac:dyDescent="0.25">
      <c r="C136">
        <v>1131</v>
      </c>
      <c r="D136" t="s">
        <v>159</v>
      </c>
      <c r="E136" t="s">
        <v>26</v>
      </c>
      <c r="F136" t="s">
        <v>27</v>
      </c>
      <c r="G136">
        <v>48000</v>
      </c>
      <c r="H136">
        <v>2</v>
      </c>
      <c r="I136" t="s">
        <v>46</v>
      </c>
      <c r="J136" t="s">
        <v>16</v>
      </c>
    </row>
    <row r="137" spans="3:10" x14ac:dyDescent="0.25">
      <c r="C137">
        <v>1132</v>
      </c>
      <c r="D137" t="s">
        <v>160</v>
      </c>
      <c r="E137" t="s">
        <v>26</v>
      </c>
      <c r="F137" t="s">
        <v>10</v>
      </c>
      <c r="G137">
        <v>55000</v>
      </c>
      <c r="I137" t="s">
        <v>11</v>
      </c>
      <c r="J137" t="s">
        <v>29</v>
      </c>
    </row>
    <row r="138" spans="3:10" x14ac:dyDescent="0.25">
      <c r="C138">
        <v>1133</v>
      </c>
      <c r="D138" t="s">
        <v>161</v>
      </c>
      <c r="E138" t="s">
        <v>45</v>
      </c>
      <c r="F138" t="s">
        <v>14</v>
      </c>
      <c r="G138">
        <v>15000</v>
      </c>
      <c r="H138">
        <v>1</v>
      </c>
      <c r="I138" t="s">
        <v>46</v>
      </c>
      <c r="J138" t="s">
        <v>12</v>
      </c>
    </row>
    <row r="139" spans="3:10" x14ac:dyDescent="0.25">
      <c r="C139">
        <v>1134</v>
      </c>
      <c r="D139" t="s">
        <v>162</v>
      </c>
      <c r="E139" t="s">
        <v>23</v>
      </c>
      <c r="F139" t="s">
        <v>27</v>
      </c>
      <c r="G139">
        <v>48000</v>
      </c>
      <c r="H139">
        <v>1</v>
      </c>
      <c r="I139" t="s">
        <v>15</v>
      </c>
      <c r="J139" t="s">
        <v>29</v>
      </c>
    </row>
    <row r="140" spans="3:10" x14ac:dyDescent="0.25">
      <c r="C140">
        <v>1135</v>
      </c>
      <c r="D140" t="s">
        <v>163</v>
      </c>
      <c r="E140" t="s">
        <v>33</v>
      </c>
      <c r="F140" t="s">
        <v>14</v>
      </c>
      <c r="G140">
        <v>52000</v>
      </c>
      <c r="H140">
        <v>2</v>
      </c>
      <c r="I140" t="s">
        <v>15</v>
      </c>
      <c r="J140" t="s">
        <v>12</v>
      </c>
    </row>
    <row r="141" spans="3:10" x14ac:dyDescent="0.25">
      <c r="C141">
        <v>1136</v>
      </c>
      <c r="D141" t="s">
        <v>164</v>
      </c>
      <c r="E141" t="s">
        <v>9</v>
      </c>
      <c r="F141" t="s">
        <v>14</v>
      </c>
      <c r="G141">
        <v>55000</v>
      </c>
      <c r="I141" t="s">
        <v>28</v>
      </c>
      <c r="J141" t="s">
        <v>21</v>
      </c>
    </row>
    <row r="142" spans="3:10" x14ac:dyDescent="0.25">
      <c r="C142">
        <v>1137</v>
      </c>
      <c r="D142" t="s">
        <v>165</v>
      </c>
      <c r="E142" t="s">
        <v>33</v>
      </c>
      <c r="F142" t="s">
        <v>14</v>
      </c>
      <c r="H142">
        <v>3</v>
      </c>
      <c r="I142" t="s">
        <v>38</v>
      </c>
      <c r="J142" t="s">
        <v>29</v>
      </c>
    </row>
    <row r="143" spans="3:10" x14ac:dyDescent="0.25">
      <c r="C143">
        <v>1138</v>
      </c>
      <c r="D143" t="s">
        <v>166</v>
      </c>
      <c r="E143" t="s">
        <v>23</v>
      </c>
      <c r="F143" t="s">
        <v>14</v>
      </c>
      <c r="G143">
        <v>20000</v>
      </c>
      <c r="I143" t="s">
        <v>15</v>
      </c>
      <c r="J143" t="s">
        <v>21</v>
      </c>
    </row>
    <row r="144" spans="3:10" x14ac:dyDescent="0.25">
      <c r="C144">
        <v>1139</v>
      </c>
      <c r="D144" t="s">
        <v>51</v>
      </c>
      <c r="E144" t="s">
        <v>26</v>
      </c>
      <c r="F144" t="s">
        <v>10</v>
      </c>
      <c r="G144">
        <v>20000</v>
      </c>
      <c r="H144">
        <v>2</v>
      </c>
      <c r="I144" t="s">
        <v>20</v>
      </c>
      <c r="J144" t="s">
        <v>12</v>
      </c>
    </row>
    <row r="145" spans="3:10" x14ac:dyDescent="0.25">
      <c r="C145">
        <v>1140</v>
      </c>
      <c r="D145" t="s">
        <v>167</v>
      </c>
      <c r="E145" t="s">
        <v>45</v>
      </c>
      <c r="F145" t="s">
        <v>10</v>
      </c>
      <c r="G145">
        <v>55000</v>
      </c>
      <c r="H145">
        <v>3</v>
      </c>
      <c r="I145" t="s">
        <v>15</v>
      </c>
      <c r="J145" t="s">
        <v>31</v>
      </c>
    </row>
    <row r="146" spans="3:10" x14ac:dyDescent="0.25">
      <c r="C146">
        <v>1141</v>
      </c>
      <c r="D146" t="s">
        <v>168</v>
      </c>
      <c r="E146" t="s">
        <v>45</v>
      </c>
      <c r="F146" t="s">
        <v>14</v>
      </c>
      <c r="G146">
        <v>21000</v>
      </c>
      <c r="H146">
        <v>2</v>
      </c>
      <c r="I146" t="s">
        <v>34</v>
      </c>
      <c r="J146" t="s">
        <v>31</v>
      </c>
    </row>
    <row r="147" spans="3:10" x14ac:dyDescent="0.25">
      <c r="C147">
        <v>1142</v>
      </c>
      <c r="D147" t="s">
        <v>169</v>
      </c>
      <c r="E147" t="s">
        <v>23</v>
      </c>
      <c r="F147" t="s">
        <v>27</v>
      </c>
      <c r="G147">
        <v>55000</v>
      </c>
      <c r="H147">
        <v>3</v>
      </c>
      <c r="I147" t="s">
        <v>46</v>
      </c>
      <c r="J147" t="s">
        <v>16</v>
      </c>
    </row>
    <row r="148" spans="3:10" x14ac:dyDescent="0.25">
      <c r="C148">
        <v>1143</v>
      </c>
      <c r="D148" t="s">
        <v>170</v>
      </c>
      <c r="E148" t="s">
        <v>33</v>
      </c>
      <c r="F148" t="s">
        <v>19</v>
      </c>
      <c r="G148">
        <v>52000</v>
      </c>
      <c r="I148" t="s">
        <v>20</v>
      </c>
      <c r="J148" t="s">
        <v>31</v>
      </c>
    </row>
    <row r="149" spans="3:10" x14ac:dyDescent="0.25">
      <c r="C149">
        <v>1144</v>
      </c>
      <c r="D149" t="s">
        <v>171</v>
      </c>
      <c r="E149" t="s">
        <v>45</v>
      </c>
      <c r="F149" t="s">
        <v>36</v>
      </c>
      <c r="G149">
        <v>48000</v>
      </c>
      <c r="H149">
        <v>1</v>
      </c>
      <c r="I149" t="s">
        <v>20</v>
      </c>
      <c r="J149" t="s">
        <v>29</v>
      </c>
    </row>
    <row r="150" spans="3:10" x14ac:dyDescent="0.25">
      <c r="C150">
        <v>1145</v>
      </c>
      <c r="D150" t="s">
        <v>172</v>
      </c>
      <c r="E150" t="s">
        <v>49</v>
      </c>
      <c r="F150" t="s">
        <v>19</v>
      </c>
      <c r="G150">
        <v>52000</v>
      </c>
      <c r="H150">
        <v>3</v>
      </c>
      <c r="I150" t="s">
        <v>15</v>
      </c>
      <c r="J150" t="s">
        <v>29</v>
      </c>
    </row>
    <row r="151" spans="3:10" x14ac:dyDescent="0.25">
      <c r="C151">
        <v>1146</v>
      </c>
      <c r="D151" t="s">
        <v>173</v>
      </c>
      <c r="E151" t="s">
        <v>23</v>
      </c>
      <c r="F151" t="s">
        <v>14</v>
      </c>
      <c r="G151">
        <v>52000</v>
      </c>
      <c r="I151" t="s">
        <v>28</v>
      </c>
      <c r="J151" t="s">
        <v>16</v>
      </c>
    </row>
    <row r="152" spans="3:10" x14ac:dyDescent="0.25">
      <c r="C152">
        <v>1147</v>
      </c>
      <c r="D152" t="s">
        <v>60</v>
      </c>
      <c r="E152" t="s">
        <v>26</v>
      </c>
      <c r="F152" t="s">
        <v>27</v>
      </c>
      <c r="G152">
        <v>21000</v>
      </c>
      <c r="H152">
        <v>3</v>
      </c>
      <c r="I152" t="s">
        <v>46</v>
      </c>
      <c r="J152" t="s">
        <v>29</v>
      </c>
    </row>
    <row r="153" spans="3:10" x14ac:dyDescent="0.25">
      <c r="C153">
        <v>1148</v>
      </c>
      <c r="D153" t="s">
        <v>174</v>
      </c>
      <c r="E153" t="s">
        <v>45</v>
      </c>
      <c r="F153" t="s">
        <v>10</v>
      </c>
      <c r="G153">
        <v>52000</v>
      </c>
      <c r="I153" t="s">
        <v>11</v>
      </c>
      <c r="J153" t="s">
        <v>53</v>
      </c>
    </row>
    <row r="154" spans="3:10" x14ac:dyDescent="0.25">
      <c r="C154">
        <v>1149</v>
      </c>
      <c r="D154" t="s">
        <v>175</v>
      </c>
      <c r="E154" t="s">
        <v>23</v>
      </c>
      <c r="F154" t="s">
        <v>19</v>
      </c>
      <c r="G154">
        <v>21000</v>
      </c>
      <c r="H154">
        <v>2</v>
      </c>
      <c r="I154" t="s">
        <v>34</v>
      </c>
      <c r="J154" t="s">
        <v>31</v>
      </c>
    </row>
    <row r="155" spans="3:10" x14ac:dyDescent="0.25">
      <c r="C155">
        <v>1150</v>
      </c>
      <c r="D155" t="s">
        <v>176</v>
      </c>
      <c r="E155" t="s">
        <v>45</v>
      </c>
      <c r="F155" t="s">
        <v>10</v>
      </c>
      <c r="G155">
        <v>55000</v>
      </c>
      <c r="I155" t="s">
        <v>46</v>
      </c>
      <c r="J155" t="s">
        <v>31</v>
      </c>
    </row>
    <row r="156" spans="3:10" x14ac:dyDescent="0.25">
      <c r="C156">
        <v>1151</v>
      </c>
      <c r="D156" t="s">
        <v>64</v>
      </c>
      <c r="E156" t="s">
        <v>45</v>
      </c>
      <c r="F156" t="s">
        <v>10</v>
      </c>
      <c r="G156">
        <v>55000</v>
      </c>
      <c r="H156">
        <v>2</v>
      </c>
      <c r="I156" t="s">
        <v>46</v>
      </c>
      <c r="J156" t="s">
        <v>31</v>
      </c>
    </row>
    <row r="157" spans="3:10" x14ac:dyDescent="0.25">
      <c r="C157">
        <v>1152</v>
      </c>
      <c r="D157" t="s">
        <v>65</v>
      </c>
      <c r="E157" t="s">
        <v>23</v>
      </c>
      <c r="F157" t="s">
        <v>14</v>
      </c>
      <c r="G157">
        <v>48000</v>
      </c>
      <c r="I157" t="s">
        <v>15</v>
      </c>
      <c r="J157" t="s">
        <v>29</v>
      </c>
    </row>
    <row r="158" spans="3:10" x14ac:dyDescent="0.25">
      <c r="C158">
        <v>1153</v>
      </c>
      <c r="D158" t="s">
        <v>177</v>
      </c>
      <c r="E158" t="s">
        <v>23</v>
      </c>
      <c r="F158" t="s">
        <v>19</v>
      </c>
      <c r="G158">
        <v>21000</v>
      </c>
      <c r="H158">
        <v>3</v>
      </c>
      <c r="I158" t="s">
        <v>15</v>
      </c>
      <c r="J158" t="s">
        <v>21</v>
      </c>
    </row>
    <row r="159" spans="3:10" x14ac:dyDescent="0.25">
      <c r="C159">
        <v>1154</v>
      </c>
      <c r="D159" t="s">
        <v>67</v>
      </c>
      <c r="E159" t="s">
        <v>33</v>
      </c>
      <c r="F159" t="s">
        <v>36</v>
      </c>
      <c r="G159">
        <v>52000</v>
      </c>
      <c r="I159" t="s">
        <v>20</v>
      </c>
      <c r="J159" t="s">
        <v>53</v>
      </c>
    </row>
    <row r="160" spans="3:10" x14ac:dyDescent="0.25">
      <c r="C160">
        <v>1155</v>
      </c>
      <c r="D160" t="s">
        <v>68</v>
      </c>
      <c r="E160" t="s">
        <v>49</v>
      </c>
      <c r="F160" t="s">
        <v>19</v>
      </c>
      <c r="G160">
        <v>21000</v>
      </c>
      <c r="H160">
        <v>3</v>
      </c>
      <c r="I160" t="s">
        <v>20</v>
      </c>
      <c r="J160" t="s">
        <v>16</v>
      </c>
    </row>
    <row r="161" spans="3:10" x14ac:dyDescent="0.25">
      <c r="C161">
        <v>1156</v>
      </c>
      <c r="D161" t="s">
        <v>178</v>
      </c>
      <c r="E161" t="s">
        <v>9</v>
      </c>
      <c r="F161" t="s">
        <v>27</v>
      </c>
      <c r="G161">
        <v>52000</v>
      </c>
      <c r="H161">
        <v>2</v>
      </c>
      <c r="I161" t="s">
        <v>24</v>
      </c>
      <c r="J161" t="s">
        <v>29</v>
      </c>
    </row>
    <row r="162" spans="3:10" x14ac:dyDescent="0.25">
      <c r="C162">
        <v>1157</v>
      </c>
      <c r="D162" t="s">
        <v>179</v>
      </c>
      <c r="E162" t="s">
        <v>18</v>
      </c>
      <c r="F162" t="s">
        <v>27</v>
      </c>
      <c r="G162">
        <v>48000</v>
      </c>
      <c r="H162">
        <v>1</v>
      </c>
      <c r="I162" t="s">
        <v>38</v>
      </c>
      <c r="J162" t="s">
        <v>29</v>
      </c>
    </row>
    <row r="163" spans="3:10" x14ac:dyDescent="0.25">
      <c r="C163">
        <v>1158</v>
      </c>
      <c r="D163" t="s">
        <v>180</v>
      </c>
      <c r="E163" t="s">
        <v>23</v>
      </c>
      <c r="F163" t="s">
        <v>10</v>
      </c>
      <c r="H163">
        <v>3</v>
      </c>
      <c r="I163" t="s">
        <v>34</v>
      </c>
      <c r="J163" t="s">
        <v>21</v>
      </c>
    </row>
    <row r="164" spans="3:10" x14ac:dyDescent="0.25">
      <c r="C164">
        <v>1159</v>
      </c>
      <c r="D164" t="s">
        <v>72</v>
      </c>
      <c r="E164" t="s">
        <v>9</v>
      </c>
      <c r="F164" t="s">
        <v>14</v>
      </c>
      <c r="H164">
        <v>1</v>
      </c>
      <c r="I164" t="s">
        <v>28</v>
      </c>
      <c r="J164" t="s">
        <v>12</v>
      </c>
    </row>
    <row r="165" spans="3:10" x14ac:dyDescent="0.25">
      <c r="C165">
        <v>1160</v>
      </c>
      <c r="D165" t="s">
        <v>181</v>
      </c>
      <c r="E165" t="s">
        <v>23</v>
      </c>
      <c r="F165" t="s">
        <v>14</v>
      </c>
      <c r="G165">
        <v>52000</v>
      </c>
      <c r="H165">
        <v>3</v>
      </c>
      <c r="I165" t="s">
        <v>24</v>
      </c>
      <c r="J165" t="s">
        <v>29</v>
      </c>
    </row>
    <row r="166" spans="3:10" x14ac:dyDescent="0.25">
      <c r="C166">
        <v>1161</v>
      </c>
      <c r="D166" t="s">
        <v>182</v>
      </c>
      <c r="E166" t="s">
        <v>23</v>
      </c>
      <c r="F166" t="s">
        <v>14</v>
      </c>
      <c r="H166">
        <v>2</v>
      </c>
      <c r="I166" t="s">
        <v>15</v>
      </c>
      <c r="J166" t="s">
        <v>29</v>
      </c>
    </row>
    <row r="167" spans="3:10" x14ac:dyDescent="0.25">
      <c r="C167">
        <v>1162</v>
      </c>
      <c r="D167" t="s">
        <v>75</v>
      </c>
      <c r="E167" t="s">
        <v>45</v>
      </c>
      <c r="F167" t="s">
        <v>19</v>
      </c>
      <c r="G167">
        <v>21000</v>
      </c>
      <c r="H167">
        <v>1</v>
      </c>
      <c r="I167" t="s">
        <v>15</v>
      </c>
      <c r="J167" t="s">
        <v>29</v>
      </c>
    </row>
    <row r="168" spans="3:10" x14ac:dyDescent="0.25">
      <c r="C168">
        <v>1163</v>
      </c>
      <c r="D168" t="s">
        <v>76</v>
      </c>
      <c r="E168" t="s">
        <v>23</v>
      </c>
      <c r="F168" t="s">
        <v>27</v>
      </c>
      <c r="G168">
        <v>53000</v>
      </c>
      <c r="H168">
        <v>1</v>
      </c>
      <c r="I168" t="s">
        <v>34</v>
      </c>
      <c r="J168" t="s">
        <v>31</v>
      </c>
    </row>
    <row r="169" spans="3:10" x14ac:dyDescent="0.25">
      <c r="C169">
        <v>1164</v>
      </c>
      <c r="D169" t="s">
        <v>77</v>
      </c>
      <c r="E169" t="s">
        <v>18</v>
      </c>
      <c r="F169" t="s">
        <v>27</v>
      </c>
      <c r="G169">
        <v>48000</v>
      </c>
      <c r="H169">
        <v>1</v>
      </c>
      <c r="I169" t="s">
        <v>46</v>
      </c>
      <c r="J169" t="s">
        <v>21</v>
      </c>
    </row>
    <row r="170" spans="3:10" x14ac:dyDescent="0.25">
      <c r="C170">
        <v>1165</v>
      </c>
      <c r="D170" t="s">
        <v>183</v>
      </c>
      <c r="E170" t="s">
        <v>45</v>
      </c>
      <c r="F170" t="s">
        <v>19</v>
      </c>
      <c r="G170">
        <v>15000</v>
      </c>
      <c r="H170">
        <v>2</v>
      </c>
      <c r="I170" t="s">
        <v>11</v>
      </c>
      <c r="J170" t="s">
        <v>21</v>
      </c>
    </row>
    <row r="171" spans="3:10" x14ac:dyDescent="0.25">
      <c r="C171">
        <v>1166</v>
      </c>
      <c r="D171" t="s">
        <v>184</v>
      </c>
      <c r="E171" t="s">
        <v>26</v>
      </c>
      <c r="F171" t="s">
        <v>36</v>
      </c>
      <c r="G171">
        <v>20000</v>
      </c>
      <c r="H171">
        <v>2</v>
      </c>
      <c r="I171" t="s">
        <v>15</v>
      </c>
      <c r="J171" t="s">
        <v>31</v>
      </c>
    </row>
    <row r="172" spans="3:10" x14ac:dyDescent="0.25">
      <c r="C172">
        <v>1167</v>
      </c>
      <c r="D172" t="s">
        <v>80</v>
      </c>
      <c r="E172" t="s">
        <v>18</v>
      </c>
      <c r="F172" t="s">
        <v>36</v>
      </c>
      <c r="G172">
        <v>21000</v>
      </c>
      <c r="I172" t="s">
        <v>34</v>
      </c>
      <c r="J172" t="s">
        <v>16</v>
      </c>
    </row>
    <row r="173" spans="3:10" x14ac:dyDescent="0.25">
      <c r="C173">
        <v>1168</v>
      </c>
      <c r="D173" t="s">
        <v>81</v>
      </c>
      <c r="E173" t="s">
        <v>45</v>
      </c>
      <c r="F173" t="s">
        <v>19</v>
      </c>
      <c r="I173" t="s">
        <v>34</v>
      </c>
      <c r="J173" t="s">
        <v>16</v>
      </c>
    </row>
    <row r="174" spans="3:10" x14ac:dyDescent="0.25">
      <c r="C174">
        <v>1169</v>
      </c>
      <c r="D174" t="s">
        <v>185</v>
      </c>
      <c r="E174" t="s">
        <v>49</v>
      </c>
      <c r="F174" t="s">
        <v>19</v>
      </c>
      <c r="G174">
        <v>21000</v>
      </c>
      <c r="H174">
        <v>2</v>
      </c>
      <c r="I174" t="s">
        <v>24</v>
      </c>
      <c r="J174" t="s">
        <v>16</v>
      </c>
    </row>
    <row r="175" spans="3:10" x14ac:dyDescent="0.25">
      <c r="C175">
        <v>1170</v>
      </c>
      <c r="D175" t="s">
        <v>186</v>
      </c>
      <c r="E175" t="s">
        <v>23</v>
      </c>
      <c r="F175" t="s">
        <v>14</v>
      </c>
      <c r="G175">
        <v>20000</v>
      </c>
      <c r="H175">
        <v>1</v>
      </c>
      <c r="I175" t="s">
        <v>24</v>
      </c>
      <c r="J175" t="s">
        <v>31</v>
      </c>
    </row>
    <row r="176" spans="3:10" x14ac:dyDescent="0.25">
      <c r="C176">
        <v>1171</v>
      </c>
      <c r="D176" t="s">
        <v>84</v>
      </c>
      <c r="E176" t="s">
        <v>26</v>
      </c>
      <c r="F176" t="s">
        <v>19</v>
      </c>
      <c r="G176">
        <v>55000</v>
      </c>
      <c r="I176" t="s">
        <v>46</v>
      </c>
      <c r="J176" t="s">
        <v>16</v>
      </c>
    </row>
    <row r="177" spans="3:10" x14ac:dyDescent="0.25">
      <c r="C177">
        <v>1172</v>
      </c>
      <c r="D177" t="s">
        <v>187</v>
      </c>
      <c r="E177" t="s">
        <v>49</v>
      </c>
      <c r="F177" t="s">
        <v>14</v>
      </c>
      <c r="G177">
        <v>15000</v>
      </c>
      <c r="I177" t="s">
        <v>34</v>
      </c>
      <c r="J177" t="s">
        <v>53</v>
      </c>
    </row>
    <row r="178" spans="3:10" x14ac:dyDescent="0.25">
      <c r="C178">
        <v>1173</v>
      </c>
      <c r="D178" t="s">
        <v>188</v>
      </c>
      <c r="E178" t="s">
        <v>23</v>
      </c>
      <c r="F178" t="s">
        <v>27</v>
      </c>
      <c r="G178">
        <v>53000</v>
      </c>
      <c r="I178" t="s">
        <v>24</v>
      </c>
      <c r="J178" t="s">
        <v>16</v>
      </c>
    </row>
    <row r="179" spans="3:10" x14ac:dyDescent="0.25">
      <c r="C179">
        <v>1174</v>
      </c>
      <c r="D179" t="s">
        <v>189</v>
      </c>
      <c r="E179" t="s">
        <v>49</v>
      </c>
      <c r="F179" t="s">
        <v>10</v>
      </c>
      <c r="G179">
        <v>53000</v>
      </c>
      <c r="H179">
        <v>1</v>
      </c>
      <c r="I179" t="s">
        <v>46</v>
      </c>
      <c r="J179" t="s">
        <v>12</v>
      </c>
    </row>
    <row r="180" spans="3:10" x14ac:dyDescent="0.25">
      <c r="C180">
        <v>1175</v>
      </c>
      <c r="D180" t="s">
        <v>190</v>
      </c>
      <c r="E180" t="s">
        <v>18</v>
      </c>
      <c r="F180" t="s">
        <v>10</v>
      </c>
      <c r="G180">
        <v>48000</v>
      </c>
      <c r="H180">
        <v>1</v>
      </c>
      <c r="I180" t="s">
        <v>46</v>
      </c>
      <c r="J180" t="s">
        <v>16</v>
      </c>
    </row>
    <row r="181" spans="3:10" x14ac:dyDescent="0.25">
      <c r="C181">
        <v>1176</v>
      </c>
      <c r="D181" t="s">
        <v>191</v>
      </c>
      <c r="E181" t="s">
        <v>23</v>
      </c>
      <c r="F181" t="s">
        <v>10</v>
      </c>
      <c r="G181">
        <v>48000</v>
      </c>
      <c r="I181" t="s">
        <v>46</v>
      </c>
      <c r="J181" t="s">
        <v>53</v>
      </c>
    </row>
    <row r="182" spans="3:10" x14ac:dyDescent="0.25">
      <c r="C182">
        <v>1177</v>
      </c>
      <c r="D182" t="s">
        <v>192</v>
      </c>
      <c r="E182" t="s">
        <v>9</v>
      </c>
      <c r="F182" t="s">
        <v>19</v>
      </c>
      <c r="G182">
        <v>21000</v>
      </c>
      <c r="H182">
        <v>2</v>
      </c>
      <c r="I182" t="s">
        <v>24</v>
      </c>
      <c r="J182" t="s">
        <v>29</v>
      </c>
    </row>
    <row r="183" spans="3:10" x14ac:dyDescent="0.25">
      <c r="C183">
        <v>1178</v>
      </c>
      <c r="D183" t="s">
        <v>193</v>
      </c>
      <c r="E183" t="s">
        <v>45</v>
      </c>
      <c r="F183" t="s">
        <v>36</v>
      </c>
      <c r="G183">
        <v>15000</v>
      </c>
      <c r="H183">
        <v>1</v>
      </c>
      <c r="I183" t="s">
        <v>28</v>
      </c>
      <c r="J183" t="s">
        <v>29</v>
      </c>
    </row>
    <row r="184" spans="3:10" x14ac:dyDescent="0.25">
      <c r="C184">
        <v>1179</v>
      </c>
      <c r="D184" t="s">
        <v>194</v>
      </c>
      <c r="E184" t="s">
        <v>23</v>
      </c>
      <c r="F184" t="s">
        <v>19</v>
      </c>
      <c r="G184">
        <v>20000</v>
      </c>
      <c r="I184" t="s">
        <v>20</v>
      </c>
      <c r="J184" t="s">
        <v>16</v>
      </c>
    </row>
    <row r="185" spans="3:10" x14ac:dyDescent="0.25">
      <c r="C185">
        <v>1180</v>
      </c>
      <c r="D185" t="s">
        <v>195</v>
      </c>
      <c r="E185" t="s">
        <v>49</v>
      </c>
      <c r="F185" t="s">
        <v>36</v>
      </c>
      <c r="G185">
        <v>15000</v>
      </c>
      <c r="H185">
        <v>3</v>
      </c>
      <c r="I185" t="s">
        <v>11</v>
      </c>
      <c r="J185" t="s">
        <v>12</v>
      </c>
    </row>
    <row r="186" spans="3:10" x14ac:dyDescent="0.25">
      <c r="C186">
        <v>1181</v>
      </c>
      <c r="D186" t="s">
        <v>94</v>
      </c>
      <c r="E186" t="s">
        <v>26</v>
      </c>
      <c r="F186" t="s">
        <v>19</v>
      </c>
      <c r="G186">
        <v>15000</v>
      </c>
      <c r="H186">
        <v>1</v>
      </c>
      <c r="I186" t="s">
        <v>24</v>
      </c>
      <c r="J186" t="s">
        <v>21</v>
      </c>
    </row>
    <row r="187" spans="3:10" x14ac:dyDescent="0.25">
      <c r="C187">
        <v>1182</v>
      </c>
      <c r="D187" t="s">
        <v>95</v>
      </c>
      <c r="E187" t="s">
        <v>23</v>
      </c>
      <c r="F187" t="s">
        <v>27</v>
      </c>
      <c r="G187">
        <v>15000</v>
      </c>
      <c r="H187">
        <v>3</v>
      </c>
      <c r="I187" t="s">
        <v>24</v>
      </c>
      <c r="J187" t="s">
        <v>31</v>
      </c>
    </row>
    <row r="188" spans="3:10" x14ac:dyDescent="0.25">
      <c r="C188">
        <v>1183</v>
      </c>
      <c r="D188" t="s">
        <v>196</v>
      </c>
      <c r="E188" t="s">
        <v>9</v>
      </c>
      <c r="F188" t="s">
        <v>10</v>
      </c>
      <c r="G188">
        <v>20000</v>
      </c>
      <c r="H188">
        <v>2</v>
      </c>
      <c r="I188" t="s">
        <v>46</v>
      </c>
      <c r="J188" t="s">
        <v>16</v>
      </c>
    </row>
    <row r="189" spans="3:10" x14ac:dyDescent="0.25">
      <c r="C189">
        <v>1184</v>
      </c>
      <c r="D189" t="s">
        <v>197</v>
      </c>
      <c r="E189" t="s">
        <v>49</v>
      </c>
      <c r="F189" t="s">
        <v>36</v>
      </c>
      <c r="G189">
        <v>20000</v>
      </c>
      <c r="H189">
        <v>2</v>
      </c>
      <c r="I189" t="s">
        <v>11</v>
      </c>
      <c r="J189" t="s">
        <v>29</v>
      </c>
    </row>
    <row r="190" spans="3:10" x14ac:dyDescent="0.25">
      <c r="C190">
        <v>1185</v>
      </c>
      <c r="D190" t="s">
        <v>198</v>
      </c>
      <c r="E190" t="s">
        <v>9</v>
      </c>
      <c r="F190" t="s">
        <v>14</v>
      </c>
      <c r="G190">
        <v>21000</v>
      </c>
      <c r="H190">
        <v>1</v>
      </c>
      <c r="I190" t="s">
        <v>34</v>
      </c>
      <c r="J190" t="s">
        <v>12</v>
      </c>
    </row>
    <row r="191" spans="3:10" x14ac:dyDescent="0.25">
      <c r="C191">
        <v>1186</v>
      </c>
      <c r="D191" t="s">
        <v>199</v>
      </c>
      <c r="E191" t="s">
        <v>45</v>
      </c>
      <c r="F191" t="s">
        <v>27</v>
      </c>
      <c r="G191">
        <v>15000</v>
      </c>
      <c r="H191">
        <v>3</v>
      </c>
      <c r="I191" t="s">
        <v>28</v>
      </c>
      <c r="J191" t="s">
        <v>53</v>
      </c>
    </row>
    <row r="192" spans="3:10" x14ac:dyDescent="0.25">
      <c r="C192">
        <v>1187</v>
      </c>
      <c r="D192" t="s">
        <v>200</v>
      </c>
      <c r="E192" t="s">
        <v>9</v>
      </c>
      <c r="F192" t="s">
        <v>36</v>
      </c>
      <c r="G192">
        <v>21000</v>
      </c>
      <c r="H192">
        <v>1</v>
      </c>
      <c r="I192" t="s">
        <v>46</v>
      </c>
      <c r="J192" t="s">
        <v>16</v>
      </c>
    </row>
    <row r="193" spans="3:10" x14ac:dyDescent="0.25">
      <c r="C193">
        <v>1188</v>
      </c>
      <c r="D193" t="s">
        <v>201</v>
      </c>
      <c r="E193" t="s">
        <v>26</v>
      </c>
      <c r="F193" t="s">
        <v>27</v>
      </c>
      <c r="G193">
        <v>52000</v>
      </c>
      <c r="I193" t="s">
        <v>34</v>
      </c>
      <c r="J193" t="s">
        <v>53</v>
      </c>
    </row>
    <row r="194" spans="3:10" x14ac:dyDescent="0.25">
      <c r="C194">
        <v>1189</v>
      </c>
      <c r="D194" t="s">
        <v>102</v>
      </c>
      <c r="E194" t="s">
        <v>49</v>
      </c>
      <c r="F194" t="s">
        <v>10</v>
      </c>
      <c r="G194">
        <v>52000</v>
      </c>
      <c r="H194">
        <v>1</v>
      </c>
      <c r="I194" t="s">
        <v>38</v>
      </c>
      <c r="J194" t="s">
        <v>21</v>
      </c>
    </row>
    <row r="195" spans="3:10" x14ac:dyDescent="0.25">
      <c r="C195">
        <v>1190</v>
      </c>
      <c r="D195" t="s">
        <v>202</v>
      </c>
      <c r="E195" t="s">
        <v>45</v>
      </c>
      <c r="F195" t="s">
        <v>14</v>
      </c>
      <c r="G195">
        <v>15000</v>
      </c>
      <c r="H195">
        <v>2</v>
      </c>
      <c r="I195" t="s">
        <v>15</v>
      </c>
      <c r="J195" t="s">
        <v>21</v>
      </c>
    </row>
    <row r="196" spans="3:10" x14ac:dyDescent="0.25">
      <c r="C196">
        <v>1191</v>
      </c>
      <c r="D196" t="s">
        <v>203</v>
      </c>
      <c r="E196" t="s">
        <v>18</v>
      </c>
      <c r="F196" t="s">
        <v>10</v>
      </c>
      <c r="G196">
        <v>48000</v>
      </c>
      <c r="I196" t="s">
        <v>11</v>
      </c>
      <c r="J196" t="s">
        <v>12</v>
      </c>
    </row>
    <row r="197" spans="3:10" x14ac:dyDescent="0.25">
      <c r="C197">
        <v>1192</v>
      </c>
      <c r="D197" t="s">
        <v>204</v>
      </c>
      <c r="E197" t="s">
        <v>33</v>
      </c>
      <c r="F197" t="s">
        <v>36</v>
      </c>
      <c r="G197">
        <v>20000</v>
      </c>
      <c r="H197">
        <v>2</v>
      </c>
      <c r="I197" t="s">
        <v>38</v>
      </c>
      <c r="J197" t="s">
        <v>31</v>
      </c>
    </row>
    <row r="198" spans="3:10" x14ac:dyDescent="0.25">
      <c r="C198">
        <v>1193</v>
      </c>
      <c r="D198" t="s">
        <v>205</v>
      </c>
      <c r="E198" t="s">
        <v>33</v>
      </c>
      <c r="F198" t="s">
        <v>14</v>
      </c>
      <c r="G198">
        <v>21000</v>
      </c>
      <c r="H198">
        <v>2</v>
      </c>
      <c r="I198" t="s">
        <v>34</v>
      </c>
      <c r="J198" t="s">
        <v>31</v>
      </c>
    </row>
    <row r="199" spans="3:10" x14ac:dyDescent="0.25">
      <c r="C199">
        <v>1194</v>
      </c>
      <c r="D199" t="s">
        <v>206</v>
      </c>
      <c r="E199" t="s">
        <v>9</v>
      </c>
      <c r="F199" t="s">
        <v>27</v>
      </c>
      <c r="G199">
        <v>53000</v>
      </c>
      <c r="H199">
        <v>1</v>
      </c>
      <c r="I199" t="s">
        <v>46</v>
      </c>
      <c r="J199" t="s">
        <v>21</v>
      </c>
    </row>
    <row r="200" spans="3:10" x14ac:dyDescent="0.25">
      <c r="C200">
        <v>1195</v>
      </c>
      <c r="D200" t="s">
        <v>207</v>
      </c>
      <c r="E200" t="s">
        <v>45</v>
      </c>
      <c r="F200" t="s">
        <v>14</v>
      </c>
      <c r="G200">
        <v>21000</v>
      </c>
      <c r="H200">
        <v>1</v>
      </c>
      <c r="I200" t="s">
        <v>20</v>
      </c>
      <c r="J200" t="s">
        <v>29</v>
      </c>
    </row>
    <row r="201" spans="3:10" x14ac:dyDescent="0.25">
      <c r="C201">
        <v>1196</v>
      </c>
      <c r="D201" t="s">
        <v>208</v>
      </c>
      <c r="E201" t="s">
        <v>18</v>
      </c>
      <c r="F201" t="s">
        <v>19</v>
      </c>
      <c r="I201" t="s">
        <v>28</v>
      </c>
      <c r="J201" t="s">
        <v>53</v>
      </c>
    </row>
    <row r="202" spans="3:10" x14ac:dyDescent="0.25">
      <c r="C202">
        <v>1197</v>
      </c>
      <c r="D202" t="s">
        <v>209</v>
      </c>
      <c r="E202" t="s">
        <v>23</v>
      </c>
      <c r="F202" t="s">
        <v>19</v>
      </c>
      <c r="G202">
        <v>15000</v>
      </c>
      <c r="H202">
        <v>3</v>
      </c>
      <c r="I202" t="s">
        <v>38</v>
      </c>
      <c r="J202" t="s">
        <v>29</v>
      </c>
    </row>
    <row r="203" spans="3:10" x14ac:dyDescent="0.25">
      <c r="C203">
        <v>1198</v>
      </c>
      <c r="D203" t="s">
        <v>210</v>
      </c>
      <c r="E203" t="s">
        <v>26</v>
      </c>
      <c r="F203" t="s">
        <v>27</v>
      </c>
      <c r="G203">
        <v>48000</v>
      </c>
      <c r="H203">
        <v>3</v>
      </c>
      <c r="I203" t="s">
        <v>20</v>
      </c>
      <c r="J203" t="s">
        <v>53</v>
      </c>
    </row>
    <row r="204" spans="3:10" x14ac:dyDescent="0.25">
      <c r="C204">
        <v>1199</v>
      </c>
      <c r="D204" t="s">
        <v>112</v>
      </c>
      <c r="E204" t="s">
        <v>45</v>
      </c>
      <c r="F204" t="s">
        <v>19</v>
      </c>
      <c r="G204">
        <v>21000</v>
      </c>
      <c r="I204" t="s">
        <v>15</v>
      </c>
      <c r="J204" t="s">
        <v>21</v>
      </c>
    </row>
    <row r="205" spans="3:10" x14ac:dyDescent="0.25">
      <c r="C205">
        <v>1200</v>
      </c>
      <c r="D205" t="s">
        <v>211</v>
      </c>
      <c r="E205" t="s">
        <v>49</v>
      </c>
      <c r="F205" t="s">
        <v>27</v>
      </c>
      <c r="G205">
        <v>20000</v>
      </c>
      <c r="H205">
        <v>3</v>
      </c>
      <c r="I205" t="s">
        <v>38</v>
      </c>
      <c r="J205" t="s">
        <v>21</v>
      </c>
    </row>
    <row r="206" spans="3:10" x14ac:dyDescent="0.25">
      <c r="C206">
        <v>1201</v>
      </c>
      <c r="D206" t="s">
        <v>212</v>
      </c>
      <c r="E206" t="s">
        <v>26</v>
      </c>
      <c r="F206" t="s">
        <v>36</v>
      </c>
      <c r="G206">
        <v>15000</v>
      </c>
      <c r="H206">
        <v>2</v>
      </c>
      <c r="I206" t="s">
        <v>28</v>
      </c>
      <c r="J206" t="s">
        <v>12</v>
      </c>
    </row>
    <row r="207" spans="3:10" x14ac:dyDescent="0.25">
      <c r="C207">
        <v>1202</v>
      </c>
      <c r="D207" t="s">
        <v>213</v>
      </c>
      <c r="E207" t="s">
        <v>23</v>
      </c>
      <c r="F207" t="s">
        <v>10</v>
      </c>
      <c r="G207">
        <v>21000</v>
      </c>
      <c r="H207">
        <v>2</v>
      </c>
      <c r="I207" t="s">
        <v>20</v>
      </c>
      <c r="J207" t="s">
        <v>29</v>
      </c>
    </row>
    <row r="208" spans="3:10" x14ac:dyDescent="0.25">
      <c r="C208">
        <v>1203</v>
      </c>
      <c r="D208" t="s">
        <v>214</v>
      </c>
      <c r="E208" t="s">
        <v>26</v>
      </c>
      <c r="F208" t="s">
        <v>36</v>
      </c>
      <c r="G208">
        <v>53000</v>
      </c>
      <c r="I208" t="s">
        <v>24</v>
      </c>
      <c r="J208" t="s">
        <v>12</v>
      </c>
    </row>
    <row r="209" spans="3:10" x14ac:dyDescent="0.25">
      <c r="C209">
        <v>1204</v>
      </c>
      <c r="D209" t="s">
        <v>117</v>
      </c>
      <c r="E209" t="s">
        <v>26</v>
      </c>
      <c r="F209" t="s">
        <v>19</v>
      </c>
      <c r="G209">
        <v>53000</v>
      </c>
      <c r="H209">
        <v>3</v>
      </c>
      <c r="I209" t="s">
        <v>11</v>
      </c>
      <c r="J209" t="s">
        <v>53</v>
      </c>
    </row>
    <row r="210" spans="3:10" x14ac:dyDescent="0.25">
      <c r="C210">
        <v>1205</v>
      </c>
      <c r="D210" t="s">
        <v>215</v>
      </c>
      <c r="E210" t="s">
        <v>45</v>
      </c>
      <c r="F210" t="s">
        <v>27</v>
      </c>
      <c r="G210">
        <v>15000</v>
      </c>
      <c r="I210" t="s">
        <v>15</v>
      </c>
      <c r="J210" t="s">
        <v>53</v>
      </c>
    </row>
    <row r="211" spans="3:10" x14ac:dyDescent="0.25">
      <c r="C211">
        <v>1206</v>
      </c>
      <c r="D211" t="s">
        <v>216</v>
      </c>
      <c r="E211" t="s">
        <v>33</v>
      </c>
      <c r="F211" t="s">
        <v>10</v>
      </c>
      <c r="G211">
        <v>48000</v>
      </c>
      <c r="I211" t="s">
        <v>38</v>
      </c>
      <c r="J211" t="s">
        <v>12</v>
      </c>
    </row>
    <row r="212" spans="3:10" x14ac:dyDescent="0.25">
      <c r="C212">
        <v>1207</v>
      </c>
      <c r="D212" t="s">
        <v>217</v>
      </c>
      <c r="E212" t="s">
        <v>18</v>
      </c>
      <c r="F212" t="s">
        <v>27</v>
      </c>
      <c r="G212">
        <v>48000</v>
      </c>
      <c r="H212">
        <v>2</v>
      </c>
      <c r="I212" t="s">
        <v>28</v>
      </c>
      <c r="J212" t="s">
        <v>12</v>
      </c>
    </row>
    <row r="213" spans="3:10" x14ac:dyDescent="0.25">
      <c r="C213">
        <v>1208</v>
      </c>
      <c r="D213" t="s">
        <v>121</v>
      </c>
      <c r="E213" t="s">
        <v>23</v>
      </c>
      <c r="F213" t="s">
        <v>14</v>
      </c>
      <c r="G213">
        <v>15000</v>
      </c>
      <c r="H213">
        <v>3</v>
      </c>
      <c r="I213" t="s">
        <v>11</v>
      </c>
      <c r="J213" t="s">
        <v>29</v>
      </c>
    </row>
    <row r="214" spans="3:10" x14ac:dyDescent="0.25">
      <c r="C214">
        <v>1209</v>
      </c>
      <c r="D214" t="s">
        <v>218</v>
      </c>
      <c r="E214" t="s">
        <v>9</v>
      </c>
      <c r="F214" t="s">
        <v>10</v>
      </c>
      <c r="G214">
        <v>21000</v>
      </c>
      <c r="H214">
        <v>1</v>
      </c>
      <c r="I214" t="s">
        <v>28</v>
      </c>
      <c r="J214" t="s">
        <v>12</v>
      </c>
    </row>
    <row r="215" spans="3:10" x14ac:dyDescent="0.25">
      <c r="C215">
        <v>1210</v>
      </c>
      <c r="D215" t="s">
        <v>123</v>
      </c>
      <c r="E215" t="s">
        <v>26</v>
      </c>
      <c r="F215" t="s">
        <v>19</v>
      </c>
      <c r="G215">
        <v>53000</v>
      </c>
      <c r="I215" t="s">
        <v>34</v>
      </c>
      <c r="J215" t="s">
        <v>53</v>
      </c>
    </row>
    <row r="216" spans="3:10" x14ac:dyDescent="0.25">
      <c r="C216">
        <v>1211</v>
      </c>
      <c r="D216" t="s">
        <v>219</v>
      </c>
      <c r="E216" t="s">
        <v>26</v>
      </c>
      <c r="F216" t="s">
        <v>19</v>
      </c>
      <c r="G216">
        <v>48000</v>
      </c>
      <c r="I216" t="s">
        <v>28</v>
      </c>
      <c r="J216" t="s">
        <v>29</v>
      </c>
    </row>
    <row r="217" spans="3:10" x14ac:dyDescent="0.25">
      <c r="C217">
        <v>1212</v>
      </c>
      <c r="D217" t="s">
        <v>220</v>
      </c>
      <c r="E217" t="s">
        <v>23</v>
      </c>
      <c r="F217" t="s">
        <v>14</v>
      </c>
      <c r="G217">
        <v>53000</v>
      </c>
      <c r="I217" t="s">
        <v>46</v>
      </c>
      <c r="J217" t="s">
        <v>29</v>
      </c>
    </row>
    <row r="218" spans="3:10" x14ac:dyDescent="0.25">
      <c r="C218">
        <v>1213</v>
      </c>
      <c r="D218" t="s">
        <v>126</v>
      </c>
      <c r="E218" t="s">
        <v>23</v>
      </c>
      <c r="F218" t="s">
        <v>19</v>
      </c>
      <c r="G218">
        <v>52000</v>
      </c>
      <c r="H218">
        <v>1</v>
      </c>
      <c r="I218" t="s">
        <v>11</v>
      </c>
      <c r="J218" t="s">
        <v>31</v>
      </c>
    </row>
    <row r="219" spans="3:10" x14ac:dyDescent="0.25">
      <c r="C219">
        <v>1214</v>
      </c>
      <c r="D219" t="s">
        <v>127</v>
      </c>
      <c r="E219" t="s">
        <v>23</v>
      </c>
      <c r="F219" t="s">
        <v>10</v>
      </c>
      <c r="G219">
        <v>20000</v>
      </c>
      <c r="H219">
        <v>1</v>
      </c>
      <c r="I219" t="s">
        <v>34</v>
      </c>
      <c r="J219" t="s">
        <v>21</v>
      </c>
    </row>
    <row r="220" spans="3:10" x14ac:dyDescent="0.25">
      <c r="C220">
        <v>1215</v>
      </c>
      <c r="D220" t="s">
        <v>128</v>
      </c>
      <c r="E220" t="s">
        <v>49</v>
      </c>
      <c r="F220" t="s">
        <v>10</v>
      </c>
      <c r="G220">
        <v>52000</v>
      </c>
      <c r="H220">
        <v>2</v>
      </c>
      <c r="I220" t="s">
        <v>20</v>
      </c>
      <c r="J220" t="s">
        <v>29</v>
      </c>
    </row>
    <row r="221" spans="3:10" x14ac:dyDescent="0.25">
      <c r="C221">
        <v>1216</v>
      </c>
      <c r="D221" t="s">
        <v>221</v>
      </c>
      <c r="E221" t="s">
        <v>23</v>
      </c>
      <c r="F221" t="s">
        <v>10</v>
      </c>
      <c r="G221">
        <v>55000</v>
      </c>
      <c r="H221">
        <v>3</v>
      </c>
      <c r="I221" t="s">
        <v>20</v>
      </c>
      <c r="J221" t="s">
        <v>29</v>
      </c>
    </row>
    <row r="222" spans="3:10" x14ac:dyDescent="0.25">
      <c r="C222">
        <v>1217</v>
      </c>
      <c r="D222" t="s">
        <v>130</v>
      </c>
      <c r="E222" t="s">
        <v>26</v>
      </c>
      <c r="F222" t="s">
        <v>27</v>
      </c>
      <c r="G222">
        <v>20000</v>
      </c>
      <c r="I222" t="s">
        <v>38</v>
      </c>
      <c r="J222" t="s">
        <v>29</v>
      </c>
    </row>
    <row r="223" spans="3:10" x14ac:dyDescent="0.25">
      <c r="C223">
        <v>1218</v>
      </c>
      <c r="D223" t="s">
        <v>222</v>
      </c>
      <c r="E223" t="s">
        <v>26</v>
      </c>
      <c r="F223" t="s">
        <v>14</v>
      </c>
      <c r="G223">
        <v>20000</v>
      </c>
      <c r="H223">
        <v>2</v>
      </c>
      <c r="I223" t="s">
        <v>11</v>
      </c>
      <c r="J223" t="s">
        <v>53</v>
      </c>
    </row>
    <row r="224" spans="3:10" x14ac:dyDescent="0.25">
      <c r="C224">
        <v>1219</v>
      </c>
      <c r="D224" t="s">
        <v>132</v>
      </c>
      <c r="E224" t="s">
        <v>9</v>
      </c>
      <c r="F224" t="s">
        <v>14</v>
      </c>
      <c r="G224">
        <v>53000</v>
      </c>
      <c r="H224">
        <v>2</v>
      </c>
      <c r="I224" t="s">
        <v>28</v>
      </c>
      <c r="J224" t="s">
        <v>53</v>
      </c>
    </row>
    <row r="225" spans="3:10" x14ac:dyDescent="0.25">
      <c r="C225">
        <v>1220</v>
      </c>
      <c r="D225" t="s">
        <v>223</v>
      </c>
      <c r="E225" t="s">
        <v>49</v>
      </c>
      <c r="F225" t="s">
        <v>36</v>
      </c>
      <c r="H225">
        <v>1</v>
      </c>
      <c r="I225" t="s">
        <v>11</v>
      </c>
      <c r="J225" t="s">
        <v>12</v>
      </c>
    </row>
    <row r="226" spans="3:10" x14ac:dyDescent="0.25">
      <c r="C226">
        <v>1221</v>
      </c>
      <c r="D226" t="s">
        <v>224</v>
      </c>
      <c r="E226" t="s">
        <v>23</v>
      </c>
      <c r="F226" t="s">
        <v>14</v>
      </c>
      <c r="G226">
        <v>20000</v>
      </c>
      <c r="H226">
        <v>2</v>
      </c>
      <c r="I226" t="s">
        <v>34</v>
      </c>
      <c r="J226" t="s">
        <v>12</v>
      </c>
    </row>
    <row r="227" spans="3:10" x14ac:dyDescent="0.25">
      <c r="C227">
        <v>1222</v>
      </c>
      <c r="D227" t="s">
        <v>135</v>
      </c>
      <c r="E227" t="s">
        <v>45</v>
      </c>
      <c r="F227" t="s">
        <v>19</v>
      </c>
      <c r="G227">
        <v>15000</v>
      </c>
      <c r="H227">
        <v>2</v>
      </c>
      <c r="I227" t="s">
        <v>46</v>
      </c>
      <c r="J227" t="s">
        <v>21</v>
      </c>
    </row>
    <row r="228" spans="3:10" x14ac:dyDescent="0.25">
      <c r="C228">
        <v>1223</v>
      </c>
      <c r="D228" t="s">
        <v>225</v>
      </c>
      <c r="E228" t="s">
        <v>26</v>
      </c>
      <c r="F228" t="s">
        <v>10</v>
      </c>
      <c r="G228">
        <v>55000</v>
      </c>
      <c r="H228">
        <v>2</v>
      </c>
      <c r="I228" t="s">
        <v>28</v>
      </c>
      <c r="J228" t="s">
        <v>31</v>
      </c>
    </row>
    <row r="229" spans="3:10" x14ac:dyDescent="0.25">
      <c r="C229">
        <v>1224</v>
      </c>
      <c r="D229" t="s">
        <v>226</v>
      </c>
      <c r="E229" t="s">
        <v>9</v>
      </c>
      <c r="F229" t="s">
        <v>10</v>
      </c>
      <c r="G229">
        <v>52000</v>
      </c>
      <c r="H229">
        <v>2</v>
      </c>
      <c r="I229" t="s">
        <v>46</v>
      </c>
      <c r="J229" t="s">
        <v>29</v>
      </c>
    </row>
    <row r="230" spans="3:10" x14ac:dyDescent="0.25">
      <c r="C230">
        <v>1225</v>
      </c>
      <c r="D230" t="s">
        <v>227</v>
      </c>
      <c r="E230" t="s">
        <v>9</v>
      </c>
      <c r="F230" t="s">
        <v>36</v>
      </c>
      <c r="G230">
        <v>21000</v>
      </c>
      <c r="H230">
        <v>3</v>
      </c>
      <c r="I230" t="s">
        <v>34</v>
      </c>
      <c r="J230" t="s">
        <v>21</v>
      </c>
    </row>
    <row r="231" spans="3:10" x14ac:dyDescent="0.25">
      <c r="C231">
        <v>1226</v>
      </c>
      <c r="D231" t="s">
        <v>228</v>
      </c>
      <c r="E231" t="s">
        <v>26</v>
      </c>
      <c r="F231" t="s">
        <v>27</v>
      </c>
      <c r="G231">
        <v>15000</v>
      </c>
      <c r="H231">
        <v>3</v>
      </c>
      <c r="I231" t="s">
        <v>38</v>
      </c>
      <c r="J231" t="s">
        <v>21</v>
      </c>
    </row>
    <row r="232" spans="3:10" x14ac:dyDescent="0.25">
      <c r="C232">
        <v>1227</v>
      </c>
      <c r="D232" t="s">
        <v>229</v>
      </c>
      <c r="E232" t="s">
        <v>49</v>
      </c>
      <c r="F232" t="s">
        <v>36</v>
      </c>
      <c r="G232">
        <v>55000</v>
      </c>
      <c r="H232">
        <v>1</v>
      </c>
      <c r="I232" t="s">
        <v>46</v>
      </c>
      <c r="J232" t="s">
        <v>53</v>
      </c>
    </row>
    <row r="233" spans="3:10" x14ac:dyDescent="0.25">
      <c r="C233">
        <v>1228</v>
      </c>
      <c r="D233" t="s">
        <v>230</v>
      </c>
      <c r="E233" t="s">
        <v>18</v>
      </c>
      <c r="F233" t="s">
        <v>19</v>
      </c>
      <c r="G233">
        <v>21000</v>
      </c>
      <c r="H233">
        <v>2</v>
      </c>
      <c r="I233" t="s">
        <v>20</v>
      </c>
      <c r="J233" t="s">
        <v>31</v>
      </c>
    </row>
    <row r="234" spans="3:10" x14ac:dyDescent="0.25">
      <c r="C234">
        <v>1229</v>
      </c>
      <c r="D234" t="s">
        <v>231</v>
      </c>
      <c r="E234" t="s">
        <v>9</v>
      </c>
      <c r="F234" t="s">
        <v>19</v>
      </c>
      <c r="G234">
        <v>55000</v>
      </c>
      <c r="H234">
        <v>3</v>
      </c>
      <c r="I234" t="s">
        <v>38</v>
      </c>
      <c r="J234" t="s">
        <v>29</v>
      </c>
    </row>
    <row r="235" spans="3:10" x14ac:dyDescent="0.25">
      <c r="C235">
        <v>1230</v>
      </c>
      <c r="D235" t="s">
        <v>232</v>
      </c>
      <c r="E235" t="s">
        <v>23</v>
      </c>
      <c r="F235" t="s">
        <v>14</v>
      </c>
      <c r="G235">
        <v>20000</v>
      </c>
      <c r="I235" t="s">
        <v>24</v>
      </c>
      <c r="J235" t="s">
        <v>53</v>
      </c>
    </row>
    <row r="236" spans="3:10" x14ac:dyDescent="0.25">
      <c r="C236">
        <v>1231</v>
      </c>
      <c r="D236" t="s">
        <v>233</v>
      </c>
      <c r="E236" t="s">
        <v>18</v>
      </c>
      <c r="F236" t="s">
        <v>14</v>
      </c>
      <c r="G236">
        <v>55000</v>
      </c>
      <c r="I236" t="s">
        <v>11</v>
      </c>
      <c r="J236" t="s">
        <v>16</v>
      </c>
    </row>
    <row r="237" spans="3:10" x14ac:dyDescent="0.25">
      <c r="C237">
        <v>1232</v>
      </c>
      <c r="D237" t="s">
        <v>234</v>
      </c>
      <c r="E237" t="s">
        <v>23</v>
      </c>
      <c r="F237" t="s">
        <v>14</v>
      </c>
      <c r="G237">
        <v>48000</v>
      </c>
      <c r="H237">
        <v>2</v>
      </c>
      <c r="I237" t="s">
        <v>15</v>
      </c>
      <c r="J237" t="s">
        <v>29</v>
      </c>
    </row>
    <row r="238" spans="3:10" x14ac:dyDescent="0.25">
      <c r="C238">
        <v>1233</v>
      </c>
      <c r="D238" t="s">
        <v>235</v>
      </c>
      <c r="E238" t="s">
        <v>45</v>
      </c>
      <c r="F238" t="s">
        <v>19</v>
      </c>
      <c r="G238">
        <v>52000</v>
      </c>
      <c r="H238">
        <v>2</v>
      </c>
      <c r="I238" t="s">
        <v>15</v>
      </c>
      <c r="J238" t="s">
        <v>16</v>
      </c>
    </row>
    <row r="239" spans="3:10" x14ac:dyDescent="0.25">
      <c r="C239">
        <v>1234</v>
      </c>
      <c r="D239" t="s">
        <v>147</v>
      </c>
      <c r="E239" t="s">
        <v>26</v>
      </c>
      <c r="F239" t="s">
        <v>27</v>
      </c>
      <c r="H239">
        <v>1</v>
      </c>
      <c r="I239" t="s">
        <v>28</v>
      </c>
      <c r="J239" t="s">
        <v>21</v>
      </c>
    </row>
    <row r="240" spans="3:10" x14ac:dyDescent="0.25">
      <c r="C240">
        <v>1235</v>
      </c>
      <c r="D240" t="s">
        <v>148</v>
      </c>
      <c r="E240" t="s">
        <v>18</v>
      </c>
      <c r="F240" t="s">
        <v>27</v>
      </c>
      <c r="G240">
        <v>53000</v>
      </c>
      <c r="H240">
        <v>2</v>
      </c>
      <c r="I240" t="s">
        <v>20</v>
      </c>
      <c r="J240" t="s">
        <v>21</v>
      </c>
    </row>
    <row r="241" spans="3:10" x14ac:dyDescent="0.25">
      <c r="C241">
        <v>1236</v>
      </c>
      <c r="D241" t="s">
        <v>149</v>
      </c>
      <c r="E241" t="s">
        <v>26</v>
      </c>
      <c r="F241" t="s">
        <v>19</v>
      </c>
      <c r="G241">
        <v>53000</v>
      </c>
      <c r="H241">
        <v>1</v>
      </c>
      <c r="I241" t="s">
        <v>24</v>
      </c>
      <c r="J241" t="s">
        <v>21</v>
      </c>
    </row>
    <row r="242" spans="3:10" x14ac:dyDescent="0.25">
      <c r="C242">
        <v>1237</v>
      </c>
      <c r="D242" t="s">
        <v>236</v>
      </c>
      <c r="E242" t="s">
        <v>23</v>
      </c>
      <c r="F242" t="s">
        <v>27</v>
      </c>
      <c r="G242">
        <v>55000</v>
      </c>
      <c r="I242" t="s">
        <v>15</v>
      </c>
      <c r="J242" t="s">
        <v>12</v>
      </c>
    </row>
    <row r="243" spans="3:10" x14ac:dyDescent="0.25">
      <c r="C243">
        <v>1238</v>
      </c>
      <c r="D243" t="s">
        <v>151</v>
      </c>
      <c r="E243" t="s">
        <v>45</v>
      </c>
      <c r="F243" t="s">
        <v>36</v>
      </c>
      <c r="H243">
        <v>1</v>
      </c>
      <c r="I243" t="s">
        <v>11</v>
      </c>
      <c r="J243" t="s">
        <v>16</v>
      </c>
    </row>
    <row r="244" spans="3:10" x14ac:dyDescent="0.25">
      <c r="C244">
        <v>1239</v>
      </c>
      <c r="D244" t="s">
        <v>237</v>
      </c>
      <c r="E244" t="s">
        <v>49</v>
      </c>
      <c r="F244" t="s">
        <v>36</v>
      </c>
      <c r="G244">
        <v>48000</v>
      </c>
      <c r="H244">
        <v>3</v>
      </c>
      <c r="I244" t="s">
        <v>28</v>
      </c>
      <c r="J244" t="s">
        <v>31</v>
      </c>
    </row>
    <row r="245" spans="3:10" x14ac:dyDescent="0.25">
      <c r="C245">
        <v>1240</v>
      </c>
      <c r="D245" t="s">
        <v>238</v>
      </c>
      <c r="E245" t="s">
        <v>33</v>
      </c>
      <c r="F245" t="s">
        <v>36</v>
      </c>
      <c r="G245">
        <v>53000</v>
      </c>
      <c r="H245">
        <v>2</v>
      </c>
      <c r="I245" t="s">
        <v>38</v>
      </c>
      <c r="J245" t="s">
        <v>16</v>
      </c>
    </row>
    <row r="246" spans="3:10" x14ac:dyDescent="0.25">
      <c r="C246">
        <v>1241</v>
      </c>
      <c r="D246" t="s">
        <v>8</v>
      </c>
      <c r="E246" t="s">
        <v>45</v>
      </c>
      <c r="F246" t="s">
        <v>14</v>
      </c>
      <c r="G246">
        <v>55000</v>
      </c>
      <c r="H246">
        <v>2</v>
      </c>
      <c r="I246" t="s">
        <v>38</v>
      </c>
      <c r="J246" t="s">
        <v>31</v>
      </c>
    </row>
    <row r="247" spans="3:10" x14ac:dyDescent="0.25">
      <c r="C247">
        <v>1242</v>
      </c>
      <c r="D247" t="s">
        <v>13</v>
      </c>
      <c r="E247" t="s">
        <v>26</v>
      </c>
      <c r="F247" t="s">
        <v>19</v>
      </c>
      <c r="H247">
        <v>1</v>
      </c>
      <c r="I247" t="s">
        <v>46</v>
      </c>
      <c r="J247" t="s">
        <v>16</v>
      </c>
    </row>
    <row r="248" spans="3:10" x14ac:dyDescent="0.25">
      <c r="C248">
        <v>1243</v>
      </c>
      <c r="D248" t="s">
        <v>239</v>
      </c>
      <c r="E248" t="s">
        <v>9</v>
      </c>
      <c r="F248" t="s">
        <v>27</v>
      </c>
      <c r="G248">
        <v>52000</v>
      </c>
      <c r="H248">
        <v>2</v>
      </c>
      <c r="I248" t="s">
        <v>11</v>
      </c>
      <c r="J248" t="s">
        <v>12</v>
      </c>
    </row>
    <row r="249" spans="3:10" x14ac:dyDescent="0.25">
      <c r="C249">
        <v>1244</v>
      </c>
      <c r="D249" t="s">
        <v>22</v>
      </c>
      <c r="E249" t="s">
        <v>49</v>
      </c>
      <c r="F249" t="s">
        <v>19</v>
      </c>
      <c r="G249">
        <v>15000</v>
      </c>
      <c r="H249">
        <v>2</v>
      </c>
      <c r="I249" t="s">
        <v>46</v>
      </c>
      <c r="J249" t="s">
        <v>53</v>
      </c>
    </row>
    <row r="250" spans="3:10" x14ac:dyDescent="0.25">
      <c r="C250">
        <v>1245</v>
      </c>
      <c r="D250" t="s">
        <v>240</v>
      </c>
      <c r="E250" t="s">
        <v>23</v>
      </c>
      <c r="F250" t="s">
        <v>27</v>
      </c>
      <c r="G250">
        <v>55000</v>
      </c>
      <c r="I250" t="s">
        <v>20</v>
      </c>
      <c r="J250" t="s">
        <v>21</v>
      </c>
    </row>
    <row r="251" spans="3:10" x14ac:dyDescent="0.25">
      <c r="C251">
        <v>1246</v>
      </c>
      <c r="D251" t="s">
        <v>157</v>
      </c>
      <c r="E251" t="s">
        <v>45</v>
      </c>
      <c r="F251" t="s">
        <v>27</v>
      </c>
      <c r="G251">
        <v>48000</v>
      </c>
      <c r="H251">
        <v>2</v>
      </c>
      <c r="I251" t="s">
        <v>34</v>
      </c>
      <c r="J251" t="s">
        <v>31</v>
      </c>
    </row>
    <row r="252" spans="3:10" x14ac:dyDescent="0.25">
      <c r="C252">
        <v>1247</v>
      </c>
      <c r="D252" t="s">
        <v>241</v>
      </c>
      <c r="E252" t="s">
        <v>45</v>
      </c>
      <c r="F252" t="s">
        <v>36</v>
      </c>
      <c r="G252">
        <v>55000</v>
      </c>
      <c r="H252">
        <v>3</v>
      </c>
      <c r="I252" t="s">
        <v>15</v>
      </c>
      <c r="J252" t="s">
        <v>31</v>
      </c>
    </row>
    <row r="253" spans="3:10" x14ac:dyDescent="0.25">
      <c r="C253">
        <v>1248</v>
      </c>
      <c r="D253" t="s">
        <v>242</v>
      </c>
      <c r="E253" t="s">
        <v>18</v>
      </c>
      <c r="F253" t="s">
        <v>27</v>
      </c>
      <c r="G253">
        <v>15000</v>
      </c>
      <c r="H253">
        <v>3</v>
      </c>
      <c r="I253" t="s">
        <v>46</v>
      </c>
      <c r="J253" t="s">
        <v>21</v>
      </c>
    </row>
    <row r="254" spans="3:10" x14ac:dyDescent="0.25">
      <c r="C254">
        <v>1249</v>
      </c>
      <c r="D254" t="s">
        <v>37</v>
      </c>
      <c r="E254" t="s">
        <v>45</v>
      </c>
      <c r="F254" t="s">
        <v>27</v>
      </c>
      <c r="G254">
        <v>21000</v>
      </c>
      <c r="I254" t="s">
        <v>34</v>
      </c>
      <c r="J254" t="s">
        <v>31</v>
      </c>
    </row>
    <row r="255" spans="3:10" x14ac:dyDescent="0.25">
      <c r="C255">
        <v>1250</v>
      </c>
      <c r="D255" t="s">
        <v>243</v>
      </c>
      <c r="E255" t="s">
        <v>49</v>
      </c>
      <c r="F255" t="s">
        <v>19</v>
      </c>
      <c r="G255">
        <v>52000</v>
      </c>
      <c r="H255">
        <v>3</v>
      </c>
      <c r="I255" t="s">
        <v>28</v>
      </c>
      <c r="J255" t="s">
        <v>21</v>
      </c>
    </row>
    <row r="256" spans="3:10" x14ac:dyDescent="0.25">
      <c r="C256">
        <v>1251</v>
      </c>
      <c r="D256" t="s">
        <v>40</v>
      </c>
      <c r="E256" t="s">
        <v>33</v>
      </c>
      <c r="F256" t="s">
        <v>27</v>
      </c>
      <c r="G256">
        <v>55000</v>
      </c>
      <c r="H256">
        <v>3</v>
      </c>
      <c r="I256" t="s">
        <v>46</v>
      </c>
      <c r="J256" t="s">
        <v>29</v>
      </c>
    </row>
    <row r="257" spans="3:10" x14ac:dyDescent="0.25">
      <c r="C257">
        <v>1252</v>
      </c>
      <c r="D257" t="s">
        <v>41</v>
      </c>
      <c r="E257" t="s">
        <v>26</v>
      </c>
      <c r="F257" t="s">
        <v>19</v>
      </c>
      <c r="G257">
        <v>15000</v>
      </c>
      <c r="H257">
        <v>2</v>
      </c>
      <c r="I257" t="s">
        <v>15</v>
      </c>
      <c r="J257" t="s">
        <v>29</v>
      </c>
    </row>
    <row r="258" spans="3:10" x14ac:dyDescent="0.25">
      <c r="C258">
        <v>1253</v>
      </c>
      <c r="D258" t="s">
        <v>42</v>
      </c>
      <c r="E258" t="s">
        <v>33</v>
      </c>
      <c r="F258" t="s">
        <v>27</v>
      </c>
      <c r="G258">
        <v>15000</v>
      </c>
      <c r="H258">
        <v>1</v>
      </c>
      <c r="I258" t="s">
        <v>24</v>
      </c>
      <c r="J258" t="s">
        <v>53</v>
      </c>
    </row>
    <row r="259" spans="3:10" x14ac:dyDescent="0.25">
      <c r="C259">
        <v>1254</v>
      </c>
      <c r="D259" t="s">
        <v>244</v>
      </c>
      <c r="E259" t="s">
        <v>33</v>
      </c>
      <c r="F259" t="s">
        <v>10</v>
      </c>
      <c r="G259">
        <v>53000</v>
      </c>
      <c r="H259">
        <v>3</v>
      </c>
      <c r="I259" t="s">
        <v>24</v>
      </c>
      <c r="J259" t="s">
        <v>12</v>
      </c>
    </row>
    <row r="260" spans="3:10" x14ac:dyDescent="0.25">
      <c r="C260">
        <v>1255</v>
      </c>
      <c r="D260" t="s">
        <v>44</v>
      </c>
      <c r="E260" t="s">
        <v>26</v>
      </c>
      <c r="F260" t="s">
        <v>10</v>
      </c>
      <c r="G260">
        <v>21000</v>
      </c>
      <c r="H260">
        <v>2</v>
      </c>
      <c r="I260" t="s">
        <v>20</v>
      </c>
      <c r="J260" t="s">
        <v>53</v>
      </c>
    </row>
    <row r="261" spans="3:10" x14ac:dyDescent="0.25">
      <c r="C261">
        <v>1256</v>
      </c>
      <c r="D261" t="s">
        <v>47</v>
      </c>
      <c r="E261" t="s">
        <v>9</v>
      </c>
      <c r="F261" t="s">
        <v>36</v>
      </c>
      <c r="G261">
        <v>48000</v>
      </c>
      <c r="I261" t="s">
        <v>46</v>
      </c>
      <c r="J261" t="s">
        <v>31</v>
      </c>
    </row>
    <row r="262" spans="3:10" x14ac:dyDescent="0.25">
      <c r="C262">
        <v>1257</v>
      </c>
      <c r="D262" t="s">
        <v>165</v>
      </c>
      <c r="E262" t="s">
        <v>49</v>
      </c>
      <c r="F262" t="s">
        <v>36</v>
      </c>
      <c r="G262">
        <v>55000</v>
      </c>
      <c r="H262">
        <v>1</v>
      </c>
      <c r="I262" t="s">
        <v>11</v>
      </c>
      <c r="J262" t="s">
        <v>12</v>
      </c>
    </row>
    <row r="263" spans="3:10" x14ac:dyDescent="0.25">
      <c r="C263">
        <v>1258</v>
      </c>
      <c r="D263" t="s">
        <v>50</v>
      </c>
      <c r="E263" t="s">
        <v>45</v>
      </c>
      <c r="F263" t="s">
        <v>14</v>
      </c>
      <c r="G263">
        <v>53000</v>
      </c>
      <c r="H263">
        <v>3</v>
      </c>
      <c r="I263" t="s">
        <v>28</v>
      </c>
      <c r="J263" t="s">
        <v>29</v>
      </c>
    </row>
    <row r="264" spans="3:10" x14ac:dyDescent="0.25">
      <c r="C264">
        <v>1259</v>
      </c>
      <c r="D264" t="s">
        <v>51</v>
      </c>
      <c r="E264" t="s">
        <v>45</v>
      </c>
      <c r="F264" t="s">
        <v>10</v>
      </c>
      <c r="I264" t="s">
        <v>15</v>
      </c>
      <c r="J264" t="s">
        <v>21</v>
      </c>
    </row>
    <row r="265" spans="3:10" x14ac:dyDescent="0.25">
      <c r="C265">
        <v>1260</v>
      </c>
      <c r="D265" t="s">
        <v>167</v>
      </c>
      <c r="E265" t="s">
        <v>23</v>
      </c>
      <c r="F265" t="s">
        <v>14</v>
      </c>
      <c r="G265">
        <v>53000</v>
      </c>
      <c r="H265">
        <v>3</v>
      </c>
      <c r="I265" t="s">
        <v>28</v>
      </c>
      <c r="J265" t="s">
        <v>16</v>
      </c>
    </row>
    <row r="266" spans="3:10" x14ac:dyDescent="0.25">
      <c r="C266">
        <v>1261</v>
      </c>
      <c r="D266" t="s">
        <v>54</v>
      </c>
      <c r="E266" t="s">
        <v>49</v>
      </c>
      <c r="F266" t="s">
        <v>14</v>
      </c>
      <c r="H266">
        <v>2</v>
      </c>
      <c r="I266" t="s">
        <v>20</v>
      </c>
      <c r="J266" t="s">
        <v>29</v>
      </c>
    </row>
    <row r="267" spans="3:10" x14ac:dyDescent="0.25">
      <c r="C267">
        <v>1262</v>
      </c>
      <c r="D267" t="s">
        <v>245</v>
      </c>
      <c r="E267" t="s">
        <v>18</v>
      </c>
      <c r="F267" t="s">
        <v>14</v>
      </c>
      <c r="H267">
        <v>1</v>
      </c>
      <c r="I267" t="s">
        <v>46</v>
      </c>
      <c r="J267" t="s">
        <v>31</v>
      </c>
    </row>
    <row r="268" spans="3:10" x14ac:dyDescent="0.25">
      <c r="C268">
        <v>1263</v>
      </c>
      <c r="D268" t="s">
        <v>246</v>
      </c>
      <c r="E268" t="s">
        <v>49</v>
      </c>
      <c r="F268" t="s">
        <v>14</v>
      </c>
      <c r="G268">
        <v>53000</v>
      </c>
      <c r="H268">
        <v>3</v>
      </c>
      <c r="I268" t="s">
        <v>24</v>
      </c>
      <c r="J268" t="s">
        <v>53</v>
      </c>
    </row>
    <row r="269" spans="3:10" x14ac:dyDescent="0.25">
      <c r="C269">
        <v>1264</v>
      </c>
      <c r="D269" t="s">
        <v>247</v>
      </c>
      <c r="E269" t="s">
        <v>33</v>
      </c>
      <c r="F269" t="s">
        <v>14</v>
      </c>
      <c r="G269">
        <v>53000</v>
      </c>
      <c r="H269">
        <v>2</v>
      </c>
      <c r="I269" t="s">
        <v>15</v>
      </c>
      <c r="J269" t="s">
        <v>21</v>
      </c>
    </row>
    <row r="270" spans="3:10" x14ac:dyDescent="0.25">
      <c r="C270">
        <v>1265</v>
      </c>
      <c r="D270" t="s">
        <v>58</v>
      </c>
      <c r="E270" t="s">
        <v>45</v>
      </c>
      <c r="F270" t="s">
        <v>27</v>
      </c>
      <c r="G270">
        <v>48000</v>
      </c>
      <c r="H270">
        <v>1</v>
      </c>
      <c r="I270" t="s">
        <v>20</v>
      </c>
      <c r="J270" t="s">
        <v>29</v>
      </c>
    </row>
    <row r="271" spans="3:10" x14ac:dyDescent="0.25">
      <c r="C271">
        <v>1266</v>
      </c>
      <c r="D271" t="s">
        <v>173</v>
      </c>
      <c r="E271" t="s">
        <v>49</v>
      </c>
      <c r="F271" t="s">
        <v>10</v>
      </c>
      <c r="G271">
        <v>21000</v>
      </c>
      <c r="H271">
        <v>3</v>
      </c>
      <c r="I271" t="s">
        <v>24</v>
      </c>
      <c r="J271" t="s">
        <v>16</v>
      </c>
    </row>
    <row r="272" spans="3:10" x14ac:dyDescent="0.25">
      <c r="C272">
        <v>1267</v>
      </c>
      <c r="D272" t="s">
        <v>248</v>
      </c>
      <c r="E272" t="s">
        <v>33</v>
      </c>
      <c r="F272" t="s">
        <v>10</v>
      </c>
      <c r="G272">
        <v>55000</v>
      </c>
      <c r="H272">
        <v>1</v>
      </c>
      <c r="I272" t="s">
        <v>15</v>
      </c>
      <c r="J272" t="s">
        <v>53</v>
      </c>
    </row>
    <row r="273" spans="3:10" x14ac:dyDescent="0.25">
      <c r="C273">
        <v>1268</v>
      </c>
      <c r="D273" t="s">
        <v>61</v>
      </c>
      <c r="E273" t="s">
        <v>23</v>
      </c>
      <c r="F273" t="s">
        <v>19</v>
      </c>
      <c r="G273">
        <v>15000</v>
      </c>
      <c r="H273">
        <v>1</v>
      </c>
      <c r="I273" t="s">
        <v>34</v>
      </c>
      <c r="J273" t="s">
        <v>31</v>
      </c>
    </row>
    <row r="274" spans="3:10" x14ac:dyDescent="0.25">
      <c r="C274">
        <v>1269</v>
      </c>
      <c r="D274" t="s">
        <v>249</v>
      </c>
      <c r="E274" t="s">
        <v>26</v>
      </c>
      <c r="F274" t="s">
        <v>14</v>
      </c>
      <c r="G274">
        <v>15000</v>
      </c>
      <c r="H274">
        <v>1</v>
      </c>
      <c r="I274" t="s">
        <v>24</v>
      </c>
      <c r="J274" t="s">
        <v>21</v>
      </c>
    </row>
    <row r="275" spans="3:10" x14ac:dyDescent="0.25">
      <c r="C275">
        <v>1270</v>
      </c>
      <c r="D275" t="s">
        <v>63</v>
      </c>
      <c r="E275" t="s">
        <v>45</v>
      </c>
      <c r="F275" t="s">
        <v>36</v>
      </c>
      <c r="G275">
        <v>55000</v>
      </c>
      <c r="H275">
        <v>1</v>
      </c>
      <c r="I275" t="s">
        <v>46</v>
      </c>
      <c r="J275" t="s">
        <v>21</v>
      </c>
    </row>
    <row r="276" spans="3:10" x14ac:dyDescent="0.25">
      <c r="C276">
        <v>1271</v>
      </c>
      <c r="D276" t="s">
        <v>64</v>
      </c>
      <c r="E276" t="s">
        <v>33</v>
      </c>
      <c r="F276" t="s">
        <v>19</v>
      </c>
      <c r="G276">
        <v>20000</v>
      </c>
      <c r="H276">
        <v>1</v>
      </c>
      <c r="I276" t="s">
        <v>15</v>
      </c>
      <c r="J276" t="s">
        <v>31</v>
      </c>
    </row>
    <row r="277" spans="3:10" x14ac:dyDescent="0.25">
      <c r="C277">
        <v>1272</v>
      </c>
      <c r="D277" t="s">
        <v>250</v>
      </c>
      <c r="E277" t="s">
        <v>49</v>
      </c>
      <c r="F277" t="s">
        <v>10</v>
      </c>
      <c r="G277">
        <v>15000</v>
      </c>
      <c r="I277" t="s">
        <v>28</v>
      </c>
      <c r="J277" t="s">
        <v>16</v>
      </c>
    </row>
    <row r="278" spans="3:10" x14ac:dyDescent="0.25">
      <c r="C278">
        <v>1273</v>
      </c>
      <c r="D278" t="s">
        <v>177</v>
      </c>
      <c r="E278" t="s">
        <v>45</v>
      </c>
      <c r="F278" t="s">
        <v>14</v>
      </c>
      <c r="G278">
        <v>15000</v>
      </c>
      <c r="H278">
        <v>1</v>
      </c>
      <c r="I278" t="s">
        <v>11</v>
      </c>
      <c r="J278" t="s">
        <v>29</v>
      </c>
    </row>
    <row r="279" spans="3:10" x14ac:dyDescent="0.25">
      <c r="C279">
        <v>1274</v>
      </c>
      <c r="D279" t="s">
        <v>67</v>
      </c>
      <c r="E279" t="s">
        <v>49</v>
      </c>
      <c r="F279" t="s">
        <v>27</v>
      </c>
      <c r="G279">
        <v>55000</v>
      </c>
      <c r="H279">
        <v>2</v>
      </c>
      <c r="I279" t="s">
        <v>20</v>
      </c>
      <c r="J279" t="s">
        <v>29</v>
      </c>
    </row>
    <row r="280" spans="3:10" x14ac:dyDescent="0.25">
      <c r="C280">
        <v>1275</v>
      </c>
      <c r="D280" t="s">
        <v>251</v>
      </c>
      <c r="E280" t="s">
        <v>26</v>
      </c>
      <c r="F280" t="s">
        <v>36</v>
      </c>
      <c r="G280">
        <v>48000</v>
      </c>
      <c r="I280" t="s">
        <v>28</v>
      </c>
      <c r="J280" t="s">
        <v>29</v>
      </c>
    </row>
    <row r="281" spans="3:10" x14ac:dyDescent="0.25">
      <c r="C281">
        <v>1276</v>
      </c>
      <c r="D281" t="s">
        <v>178</v>
      </c>
      <c r="E281" t="s">
        <v>33</v>
      </c>
      <c r="F281" t="s">
        <v>14</v>
      </c>
      <c r="G281">
        <v>20000</v>
      </c>
      <c r="H281">
        <v>1</v>
      </c>
      <c r="I281" t="s">
        <v>38</v>
      </c>
      <c r="J281" t="s">
        <v>31</v>
      </c>
    </row>
    <row r="282" spans="3:10" x14ac:dyDescent="0.25">
      <c r="C282">
        <v>1277</v>
      </c>
      <c r="D282" t="s">
        <v>252</v>
      </c>
      <c r="E282" t="s">
        <v>23</v>
      </c>
      <c r="F282" t="s">
        <v>19</v>
      </c>
      <c r="G282">
        <v>20000</v>
      </c>
      <c r="H282">
        <v>1</v>
      </c>
      <c r="I282" t="s">
        <v>46</v>
      </c>
      <c r="J282" t="s">
        <v>16</v>
      </c>
    </row>
    <row r="283" spans="3:10" x14ac:dyDescent="0.25">
      <c r="C283">
        <v>1278</v>
      </c>
      <c r="D283" t="s">
        <v>71</v>
      </c>
      <c r="E283" t="s">
        <v>33</v>
      </c>
      <c r="F283" t="s">
        <v>27</v>
      </c>
      <c r="G283">
        <v>52000</v>
      </c>
      <c r="H283">
        <v>1</v>
      </c>
      <c r="I283" t="s">
        <v>11</v>
      </c>
      <c r="J283" t="s">
        <v>31</v>
      </c>
    </row>
    <row r="284" spans="3:10" x14ac:dyDescent="0.25">
      <c r="C284">
        <v>1279</v>
      </c>
      <c r="D284" t="s">
        <v>72</v>
      </c>
      <c r="E284" t="s">
        <v>45</v>
      </c>
      <c r="F284" t="s">
        <v>27</v>
      </c>
      <c r="G284">
        <v>20000</v>
      </c>
      <c r="H284">
        <v>2</v>
      </c>
      <c r="I284" t="s">
        <v>28</v>
      </c>
      <c r="J284" t="s">
        <v>31</v>
      </c>
    </row>
    <row r="285" spans="3:10" x14ac:dyDescent="0.25">
      <c r="C285">
        <v>1280</v>
      </c>
      <c r="D285" t="s">
        <v>253</v>
      </c>
      <c r="E285" t="s">
        <v>18</v>
      </c>
      <c r="F285" t="s">
        <v>19</v>
      </c>
      <c r="G285">
        <v>53000</v>
      </c>
      <c r="H285">
        <v>3</v>
      </c>
      <c r="I285" t="s">
        <v>24</v>
      </c>
      <c r="J285" t="s">
        <v>12</v>
      </c>
    </row>
    <row r="286" spans="3:10" x14ac:dyDescent="0.25">
      <c r="C286">
        <v>1281</v>
      </c>
      <c r="D286" t="s">
        <v>74</v>
      </c>
      <c r="E286" t="s">
        <v>23</v>
      </c>
      <c r="F286" t="s">
        <v>27</v>
      </c>
      <c r="G286">
        <v>53000</v>
      </c>
      <c r="H286">
        <v>2</v>
      </c>
      <c r="I286" t="s">
        <v>28</v>
      </c>
      <c r="J286" t="s">
        <v>16</v>
      </c>
    </row>
    <row r="287" spans="3:10" x14ac:dyDescent="0.25">
      <c r="C287">
        <v>1282</v>
      </c>
      <c r="D287" t="s">
        <v>254</v>
      </c>
      <c r="E287" t="s">
        <v>49</v>
      </c>
      <c r="F287" t="s">
        <v>10</v>
      </c>
      <c r="G287">
        <v>53000</v>
      </c>
      <c r="I287" t="s">
        <v>38</v>
      </c>
      <c r="J287" t="s">
        <v>12</v>
      </c>
    </row>
    <row r="288" spans="3:10" x14ac:dyDescent="0.25">
      <c r="C288">
        <v>1283</v>
      </c>
      <c r="D288" t="s">
        <v>76</v>
      </c>
      <c r="E288" t="s">
        <v>23</v>
      </c>
      <c r="F288" t="s">
        <v>36</v>
      </c>
      <c r="G288">
        <v>21000</v>
      </c>
      <c r="I288" t="s">
        <v>11</v>
      </c>
      <c r="J288" t="s">
        <v>16</v>
      </c>
    </row>
    <row r="289" spans="3:10" x14ac:dyDescent="0.25">
      <c r="C289">
        <v>1284</v>
      </c>
      <c r="D289" t="s">
        <v>255</v>
      </c>
      <c r="E289" t="s">
        <v>23</v>
      </c>
      <c r="F289" t="s">
        <v>14</v>
      </c>
      <c r="G289">
        <v>20000</v>
      </c>
      <c r="H289">
        <v>1</v>
      </c>
      <c r="I289" t="s">
        <v>15</v>
      </c>
      <c r="J289" t="s">
        <v>21</v>
      </c>
    </row>
    <row r="290" spans="3:10" x14ac:dyDescent="0.25">
      <c r="C290">
        <v>1285</v>
      </c>
      <c r="D290" t="s">
        <v>78</v>
      </c>
      <c r="E290" t="s">
        <v>26</v>
      </c>
      <c r="F290" t="s">
        <v>10</v>
      </c>
      <c r="G290">
        <v>21000</v>
      </c>
      <c r="H290">
        <v>1</v>
      </c>
      <c r="I290" t="s">
        <v>46</v>
      </c>
      <c r="J290" t="s">
        <v>31</v>
      </c>
    </row>
    <row r="291" spans="3:10" x14ac:dyDescent="0.25">
      <c r="C291">
        <v>1286</v>
      </c>
      <c r="D291" t="s">
        <v>256</v>
      </c>
      <c r="E291" t="s">
        <v>49</v>
      </c>
      <c r="F291" t="s">
        <v>19</v>
      </c>
      <c r="G291">
        <v>20000</v>
      </c>
      <c r="H291">
        <v>1</v>
      </c>
      <c r="I291" t="s">
        <v>38</v>
      </c>
      <c r="J291" t="s">
        <v>12</v>
      </c>
    </row>
    <row r="292" spans="3:10" x14ac:dyDescent="0.25">
      <c r="C292">
        <v>1287</v>
      </c>
      <c r="D292" t="s">
        <v>257</v>
      </c>
      <c r="E292" t="s">
        <v>18</v>
      </c>
      <c r="F292" t="s">
        <v>19</v>
      </c>
      <c r="G292">
        <v>20000</v>
      </c>
      <c r="H292">
        <v>1</v>
      </c>
      <c r="I292" t="s">
        <v>38</v>
      </c>
      <c r="J292" t="s">
        <v>31</v>
      </c>
    </row>
    <row r="293" spans="3:10" x14ac:dyDescent="0.25">
      <c r="C293">
        <v>1288</v>
      </c>
      <c r="D293" t="s">
        <v>81</v>
      </c>
      <c r="E293" t="s">
        <v>33</v>
      </c>
      <c r="F293" t="s">
        <v>14</v>
      </c>
      <c r="G293">
        <v>21000</v>
      </c>
      <c r="H293">
        <v>2</v>
      </c>
      <c r="I293" t="s">
        <v>24</v>
      </c>
      <c r="J293" t="s">
        <v>31</v>
      </c>
    </row>
    <row r="294" spans="3:10" x14ac:dyDescent="0.25">
      <c r="C294">
        <v>1289</v>
      </c>
      <c r="D294" t="s">
        <v>258</v>
      </c>
      <c r="E294" t="s">
        <v>33</v>
      </c>
      <c r="F294" t="s">
        <v>19</v>
      </c>
      <c r="G294">
        <v>15000</v>
      </c>
      <c r="H294">
        <v>2</v>
      </c>
      <c r="I294" t="s">
        <v>20</v>
      </c>
      <c r="J294" t="s">
        <v>21</v>
      </c>
    </row>
    <row r="295" spans="3:10" x14ac:dyDescent="0.25">
      <c r="C295">
        <v>1290</v>
      </c>
      <c r="D295" t="s">
        <v>83</v>
      </c>
      <c r="E295" t="s">
        <v>49</v>
      </c>
      <c r="F295" t="s">
        <v>10</v>
      </c>
      <c r="H295">
        <v>1</v>
      </c>
      <c r="I295" t="s">
        <v>34</v>
      </c>
      <c r="J295" t="s">
        <v>31</v>
      </c>
    </row>
    <row r="296" spans="3:10" x14ac:dyDescent="0.25">
      <c r="C296">
        <v>1291</v>
      </c>
      <c r="D296" t="s">
        <v>84</v>
      </c>
      <c r="E296" t="s">
        <v>45</v>
      </c>
      <c r="F296" t="s">
        <v>27</v>
      </c>
      <c r="G296">
        <v>53000</v>
      </c>
      <c r="H296">
        <v>1</v>
      </c>
      <c r="I296" t="s">
        <v>34</v>
      </c>
      <c r="J296" t="s">
        <v>21</v>
      </c>
    </row>
    <row r="297" spans="3:10" x14ac:dyDescent="0.25">
      <c r="C297">
        <v>1292</v>
      </c>
      <c r="D297" t="s">
        <v>187</v>
      </c>
      <c r="E297" t="s">
        <v>26</v>
      </c>
      <c r="F297" t="s">
        <v>14</v>
      </c>
      <c r="G297">
        <v>48000</v>
      </c>
      <c r="H297">
        <v>3</v>
      </c>
      <c r="I297" t="s">
        <v>15</v>
      </c>
      <c r="J297" t="s">
        <v>12</v>
      </c>
    </row>
    <row r="298" spans="3:10" x14ac:dyDescent="0.25">
      <c r="C298">
        <v>1293</v>
      </c>
      <c r="D298" t="s">
        <v>188</v>
      </c>
      <c r="E298" t="s">
        <v>9</v>
      </c>
      <c r="F298" t="s">
        <v>14</v>
      </c>
      <c r="G298">
        <v>15000</v>
      </c>
      <c r="I298" t="s">
        <v>20</v>
      </c>
      <c r="J298" t="s">
        <v>31</v>
      </c>
    </row>
    <row r="299" spans="3:10" x14ac:dyDescent="0.25">
      <c r="C299">
        <v>1294</v>
      </c>
      <c r="D299" t="s">
        <v>189</v>
      </c>
      <c r="E299" t="s">
        <v>33</v>
      </c>
      <c r="F299" t="s">
        <v>36</v>
      </c>
      <c r="G299">
        <v>48000</v>
      </c>
      <c r="H299">
        <v>2</v>
      </c>
      <c r="I299" t="s">
        <v>46</v>
      </c>
      <c r="J299" t="s">
        <v>31</v>
      </c>
    </row>
    <row r="300" spans="3:10" x14ac:dyDescent="0.25">
      <c r="C300">
        <v>1295</v>
      </c>
      <c r="D300" t="s">
        <v>259</v>
      </c>
      <c r="E300" t="s">
        <v>45</v>
      </c>
      <c r="F300" t="s">
        <v>14</v>
      </c>
      <c r="G300">
        <v>21000</v>
      </c>
      <c r="H300">
        <v>1</v>
      </c>
      <c r="I300" t="s">
        <v>28</v>
      </c>
      <c r="J300" t="s">
        <v>53</v>
      </c>
    </row>
    <row r="301" spans="3:10" x14ac:dyDescent="0.25">
      <c r="C301">
        <v>1296</v>
      </c>
      <c r="D301" t="s">
        <v>260</v>
      </c>
      <c r="E301" t="s">
        <v>9</v>
      </c>
      <c r="F301" t="s">
        <v>19</v>
      </c>
      <c r="G301">
        <v>15000</v>
      </c>
      <c r="H301">
        <v>1</v>
      </c>
      <c r="I301" t="s">
        <v>15</v>
      </c>
      <c r="J301" t="s">
        <v>16</v>
      </c>
    </row>
    <row r="302" spans="3:10" x14ac:dyDescent="0.25">
      <c r="C302">
        <v>1297</v>
      </c>
      <c r="D302" t="s">
        <v>192</v>
      </c>
      <c r="E302" t="s">
        <v>18</v>
      </c>
      <c r="F302" t="s">
        <v>27</v>
      </c>
      <c r="H302">
        <v>1</v>
      </c>
      <c r="I302" t="s">
        <v>24</v>
      </c>
      <c r="J302" t="s">
        <v>29</v>
      </c>
    </row>
    <row r="303" spans="3:10" x14ac:dyDescent="0.25">
      <c r="C303">
        <v>1298</v>
      </c>
      <c r="D303" t="s">
        <v>193</v>
      </c>
      <c r="E303" t="s">
        <v>18</v>
      </c>
      <c r="F303" t="s">
        <v>27</v>
      </c>
      <c r="G303">
        <v>20000</v>
      </c>
      <c r="I303" t="s">
        <v>11</v>
      </c>
      <c r="J303" t="s">
        <v>29</v>
      </c>
    </row>
    <row r="304" spans="3:10" x14ac:dyDescent="0.25">
      <c r="C304">
        <v>1299</v>
      </c>
      <c r="D304" t="s">
        <v>194</v>
      </c>
      <c r="E304" t="s">
        <v>45</v>
      </c>
      <c r="F304" t="s">
        <v>19</v>
      </c>
      <c r="G304">
        <v>21000</v>
      </c>
      <c r="H304">
        <v>2</v>
      </c>
      <c r="I304" t="s">
        <v>46</v>
      </c>
      <c r="J304" t="s">
        <v>12</v>
      </c>
    </row>
    <row r="305" spans="3:10" x14ac:dyDescent="0.25">
      <c r="C305">
        <v>1300</v>
      </c>
      <c r="D305" t="s">
        <v>93</v>
      </c>
      <c r="E305" t="s">
        <v>45</v>
      </c>
      <c r="F305" t="s">
        <v>10</v>
      </c>
      <c r="G305">
        <v>15000</v>
      </c>
      <c r="H305">
        <v>3</v>
      </c>
      <c r="I305" t="s">
        <v>34</v>
      </c>
      <c r="J305" t="s">
        <v>16</v>
      </c>
    </row>
    <row r="306" spans="3:10" x14ac:dyDescent="0.25">
      <c r="C306">
        <v>1301</v>
      </c>
      <c r="D306" t="s">
        <v>261</v>
      </c>
      <c r="E306" t="s">
        <v>49</v>
      </c>
      <c r="F306" t="s">
        <v>36</v>
      </c>
      <c r="G306">
        <v>53000</v>
      </c>
      <c r="H306">
        <v>1</v>
      </c>
      <c r="I306" t="s">
        <v>38</v>
      </c>
      <c r="J306" t="s">
        <v>16</v>
      </c>
    </row>
    <row r="307" spans="3:10" x14ac:dyDescent="0.25">
      <c r="C307">
        <v>1302</v>
      </c>
      <c r="D307" t="s">
        <v>262</v>
      </c>
      <c r="E307" t="s">
        <v>18</v>
      </c>
      <c r="F307" t="s">
        <v>19</v>
      </c>
      <c r="G307">
        <v>20000</v>
      </c>
      <c r="I307" t="s">
        <v>11</v>
      </c>
      <c r="J307" t="s">
        <v>29</v>
      </c>
    </row>
    <row r="308" spans="3:10" x14ac:dyDescent="0.25">
      <c r="C308">
        <v>1303</v>
      </c>
      <c r="D308" t="s">
        <v>263</v>
      </c>
      <c r="E308" t="s">
        <v>9</v>
      </c>
      <c r="F308" t="s">
        <v>19</v>
      </c>
      <c r="G308">
        <v>52000</v>
      </c>
      <c r="H308">
        <v>2</v>
      </c>
      <c r="I308" t="s">
        <v>11</v>
      </c>
      <c r="J308" t="s">
        <v>31</v>
      </c>
    </row>
    <row r="309" spans="3:10" x14ac:dyDescent="0.25">
      <c r="C309">
        <v>1304</v>
      </c>
      <c r="D309" t="s">
        <v>264</v>
      </c>
      <c r="E309" t="s">
        <v>18</v>
      </c>
      <c r="F309" t="s">
        <v>14</v>
      </c>
      <c r="H309">
        <v>2</v>
      </c>
      <c r="I309" t="s">
        <v>46</v>
      </c>
      <c r="J309" t="s">
        <v>21</v>
      </c>
    </row>
    <row r="310" spans="3:10" x14ac:dyDescent="0.25">
      <c r="C310">
        <v>1305</v>
      </c>
      <c r="D310" t="s">
        <v>265</v>
      </c>
      <c r="E310" t="s">
        <v>26</v>
      </c>
      <c r="F310" t="s">
        <v>27</v>
      </c>
      <c r="G310">
        <v>21000</v>
      </c>
      <c r="H310">
        <v>1</v>
      </c>
      <c r="I310" t="s">
        <v>24</v>
      </c>
      <c r="J310" t="s">
        <v>29</v>
      </c>
    </row>
    <row r="311" spans="3:10" x14ac:dyDescent="0.25">
      <c r="C311">
        <v>1306</v>
      </c>
      <c r="D311" t="s">
        <v>199</v>
      </c>
      <c r="E311" t="s">
        <v>33</v>
      </c>
      <c r="F311" t="s">
        <v>36</v>
      </c>
      <c r="G311">
        <v>15000</v>
      </c>
      <c r="H311">
        <v>2</v>
      </c>
      <c r="I311" t="s">
        <v>15</v>
      </c>
      <c r="J311" t="s">
        <v>53</v>
      </c>
    </row>
    <row r="312" spans="3:10" x14ac:dyDescent="0.25">
      <c r="C312">
        <v>1307</v>
      </c>
      <c r="D312" t="s">
        <v>100</v>
      </c>
      <c r="E312" t="s">
        <v>26</v>
      </c>
      <c r="F312" t="s">
        <v>10</v>
      </c>
      <c r="G312">
        <v>48000</v>
      </c>
      <c r="I312" t="s">
        <v>28</v>
      </c>
      <c r="J312" t="s">
        <v>16</v>
      </c>
    </row>
    <row r="313" spans="3:10" x14ac:dyDescent="0.25">
      <c r="C313">
        <v>1308</v>
      </c>
      <c r="D313" t="s">
        <v>201</v>
      </c>
      <c r="E313" t="s">
        <v>26</v>
      </c>
      <c r="F313" t="s">
        <v>36</v>
      </c>
      <c r="G313">
        <v>48000</v>
      </c>
      <c r="I313" t="s">
        <v>34</v>
      </c>
      <c r="J313" t="s">
        <v>16</v>
      </c>
    </row>
    <row r="314" spans="3:10" x14ac:dyDescent="0.25">
      <c r="C314">
        <v>1309</v>
      </c>
      <c r="D314" t="s">
        <v>266</v>
      </c>
      <c r="E314" t="s">
        <v>18</v>
      </c>
      <c r="F314" t="s">
        <v>27</v>
      </c>
      <c r="H314">
        <v>3</v>
      </c>
      <c r="I314" t="s">
        <v>28</v>
      </c>
      <c r="J314" t="s">
        <v>53</v>
      </c>
    </row>
    <row r="315" spans="3:10" x14ac:dyDescent="0.25">
      <c r="C315">
        <v>1310</v>
      </c>
      <c r="D315" t="s">
        <v>103</v>
      </c>
      <c r="E315" t="s">
        <v>49</v>
      </c>
      <c r="F315" t="s">
        <v>36</v>
      </c>
      <c r="H315">
        <v>1</v>
      </c>
      <c r="I315" t="s">
        <v>28</v>
      </c>
      <c r="J315" t="s">
        <v>16</v>
      </c>
    </row>
    <row r="316" spans="3:10" x14ac:dyDescent="0.25">
      <c r="C316">
        <v>1311</v>
      </c>
      <c r="D316" t="s">
        <v>104</v>
      </c>
      <c r="E316" t="s">
        <v>49</v>
      </c>
      <c r="F316" t="s">
        <v>19</v>
      </c>
      <c r="G316">
        <v>21000</v>
      </c>
      <c r="H316">
        <v>3</v>
      </c>
      <c r="I316" t="s">
        <v>34</v>
      </c>
      <c r="J316" t="s">
        <v>16</v>
      </c>
    </row>
    <row r="317" spans="3:10" x14ac:dyDescent="0.25">
      <c r="C317">
        <v>1312</v>
      </c>
      <c r="D317" t="s">
        <v>267</v>
      </c>
      <c r="E317" t="s">
        <v>49</v>
      </c>
      <c r="F317" t="s">
        <v>36</v>
      </c>
      <c r="G317">
        <v>20000</v>
      </c>
      <c r="H317">
        <v>1</v>
      </c>
      <c r="I317" t="s">
        <v>38</v>
      </c>
      <c r="J317" t="s">
        <v>29</v>
      </c>
    </row>
    <row r="318" spans="3:10" x14ac:dyDescent="0.25">
      <c r="C318">
        <v>1313</v>
      </c>
      <c r="D318" t="s">
        <v>268</v>
      </c>
      <c r="E318" t="s">
        <v>18</v>
      </c>
      <c r="F318" t="s">
        <v>19</v>
      </c>
      <c r="G318">
        <v>48000</v>
      </c>
      <c r="H318">
        <v>3</v>
      </c>
      <c r="I318" t="s">
        <v>24</v>
      </c>
      <c r="J318" t="s">
        <v>21</v>
      </c>
    </row>
    <row r="319" spans="3:10" x14ac:dyDescent="0.25">
      <c r="C319">
        <v>1314</v>
      </c>
      <c r="D319" t="s">
        <v>107</v>
      </c>
      <c r="E319" t="s">
        <v>49</v>
      </c>
      <c r="F319" t="s">
        <v>27</v>
      </c>
      <c r="G319">
        <v>21000</v>
      </c>
      <c r="H319">
        <v>2</v>
      </c>
      <c r="I319" t="s">
        <v>15</v>
      </c>
      <c r="J319" t="s">
        <v>29</v>
      </c>
    </row>
    <row r="320" spans="3:10" x14ac:dyDescent="0.25">
      <c r="C320">
        <v>1315</v>
      </c>
      <c r="D320" t="s">
        <v>108</v>
      </c>
      <c r="E320" t="s">
        <v>45</v>
      </c>
      <c r="F320" t="s">
        <v>27</v>
      </c>
      <c r="G320">
        <v>20000</v>
      </c>
      <c r="H320">
        <v>3</v>
      </c>
      <c r="I320" t="s">
        <v>24</v>
      </c>
      <c r="J320" t="s">
        <v>53</v>
      </c>
    </row>
    <row r="321" spans="3:10" x14ac:dyDescent="0.25">
      <c r="C321">
        <v>1316</v>
      </c>
      <c r="D321" t="s">
        <v>208</v>
      </c>
      <c r="E321" t="s">
        <v>49</v>
      </c>
      <c r="F321" t="s">
        <v>27</v>
      </c>
      <c r="G321">
        <v>53000</v>
      </c>
      <c r="H321">
        <v>3</v>
      </c>
      <c r="I321" t="s">
        <v>11</v>
      </c>
      <c r="J321" t="s">
        <v>31</v>
      </c>
    </row>
    <row r="322" spans="3:10" x14ac:dyDescent="0.25">
      <c r="C322">
        <v>1317</v>
      </c>
      <c r="D322" t="s">
        <v>209</v>
      </c>
      <c r="E322" t="s">
        <v>23</v>
      </c>
      <c r="F322" t="s">
        <v>10</v>
      </c>
      <c r="G322">
        <v>48000</v>
      </c>
      <c r="H322">
        <v>1</v>
      </c>
      <c r="I322" t="s">
        <v>20</v>
      </c>
      <c r="J322" t="s">
        <v>53</v>
      </c>
    </row>
    <row r="323" spans="3:10" x14ac:dyDescent="0.25">
      <c r="C323">
        <v>1318</v>
      </c>
      <c r="D323" t="s">
        <v>210</v>
      </c>
      <c r="E323" t="s">
        <v>49</v>
      </c>
      <c r="F323" t="s">
        <v>14</v>
      </c>
      <c r="H323">
        <v>2</v>
      </c>
      <c r="I323" t="s">
        <v>46</v>
      </c>
      <c r="J323" t="s">
        <v>16</v>
      </c>
    </row>
    <row r="324" spans="3:10" x14ac:dyDescent="0.25">
      <c r="C324">
        <v>1319</v>
      </c>
      <c r="D324" t="s">
        <v>112</v>
      </c>
      <c r="E324" t="s">
        <v>26</v>
      </c>
      <c r="F324" t="s">
        <v>14</v>
      </c>
      <c r="H324">
        <v>2</v>
      </c>
      <c r="I324" t="s">
        <v>46</v>
      </c>
      <c r="J324" t="s">
        <v>31</v>
      </c>
    </row>
    <row r="325" spans="3:10" x14ac:dyDescent="0.25">
      <c r="C325">
        <v>1320</v>
      </c>
      <c r="D325" t="s">
        <v>113</v>
      </c>
      <c r="E325" t="s">
        <v>33</v>
      </c>
      <c r="F325" t="s">
        <v>27</v>
      </c>
      <c r="G325">
        <v>21000</v>
      </c>
      <c r="I325" t="s">
        <v>46</v>
      </c>
      <c r="J325" t="s">
        <v>31</v>
      </c>
    </row>
    <row r="326" spans="3:10" x14ac:dyDescent="0.25">
      <c r="C326">
        <v>1321</v>
      </c>
      <c r="D326" t="s">
        <v>212</v>
      </c>
      <c r="E326" t="s">
        <v>45</v>
      </c>
      <c r="F326" t="s">
        <v>36</v>
      </c>
      <c r="G326">
        <v>48000</v>
      </c>
      <c r="H326">
        <v>2</v>
      </c>
      <c r="I326" t="s">
        <v>28</v>
      </c>
      <c r="J326" t="s">
        <v>29</v>
      </c>
    </row>
    <row r="327" spans="3:10" x14ac:dyDescent="0.25">
      <c r="C327">
        <v>1322</v>
      </c>
      <c r="D327" t="s">
        <v>213</v>
      </c>
      <c r="E327" t="s">
        <v>9</v>
      </c>
      <c r="F327" t="s">
        <v>27</v>
      </c>
      <c r="G327">
        <v>21000</v>
      </c>
      <c r="H327">
        <v>1</v>
      </c>
      <c r="I327" t="s">
        <v>38</v>
      </c>
      <c r="J327" t="s">
        <v>21</v>
      </c>
    </row>
    <row r="328" spans="3:10" x14ac:dyDescent="0.25">
      <c r="C328">
        <v>1323</v>
      </c>
      <c r="D328" t="s">
        <v>214</v>
      </c>
      <c r="E328" t="s">
        <v>33</v>
      </c>
      <c r="F328" t="s">
        <v>10</v>
      </c>
      <c r="G328">
        <v>53000</v>
      </c>
      <c r="I328" t="s">
        <v>15</v>
      </c>
      <c r="J328" t="s">
        <v>29</v>
      </c>
    </row>
    <row r="329" spans="3:10" x14ac:dyDescent="0.25">
      <c r="C329">
        <v>1324</v>
      </c>
      <c r="D329" t="s">
        <v>269</v>
      </c>
      <c r="E329" t="s">
        <v>49</v>
      </c>
      <c r="F329" t="s">
        <v>19</v>
      </c>
      <c r="G329">
        <v>15000</v>
      </c>
      <c r="H329">
        <v>1</v>
      </c>
      <c r="I329" t="s">
        <v>11</v>
      </c>
      <c r="J329" t="s">
        <v>16</v>
      </c>
    </row>
    <row r="330" spans="3:10" x14ac:dyDescent="0.25">
      <c r="C330">
        <v>1325</v>
      </c>
      <c r="D330" t="s">
        <v>215</v>
      </c>
      <c r="E330" t="s">
        <v>49</v>
      </c>
      <c r="F330" t="s">
        <v>36</v>
      </c>
      <c r="G330">
        <v>55000</v>
      </c>
      <c r="H330">
        <v>2</v>
      </c>
      <c r="I330" t="s">
        <v>38</v>
      </c>
      <c r="J330" t="s">
        <v>29</v>
      </c>
    </row>
    <row r="331" spans="3:10" x14ac:dyDescent="0.25">
      <c r="C331">
        <v>1326</v>
      </c>
      <c r="D331" t="s">
        <v>119</v>
      </c>
      <c r="E331" t="s">
        <v>23</v>
      </c>
      <c r="F331" t="s">
        <v>14</v>
      </c>
      <c r="G331">
        <v>20000</v>
      </c>
      <c r="I331" t="s">
        <v>15</v>
      </c>
      <c r="J331" t="s">
        <v>29</v>
      </c>
    </row>
    <row r="332" spans="3:10" x14ac:dyDescent="0.25">
      <c r="C332">
        <v>1327</v>
      </c>
      <c r="D332" t="s">
        <v>120</v>
      </c>
      <c r="E332" t="s">
        <v>9</v>
      </c>
      <c r="F332" t="s">
        <v>36</v>
      </c>
      <c r="G332">
        <v>53000</v>
      </c>
      <c r="H332">
        <v>3</v>
      </c>
      <c r="I332" t="s">
        <v>38</v>
      </c>
      <c r="J332" t="s">
        <v>53</v>
      </c>
    </row>
    <row r="333" spans="3:10" x14ac:dyDescent="0.25">
      <c r="C333">
        <v>1328</v>
      </c>
      <c r="D333" t="s">
        <v>270</v>
      </c>
      <c r="E333" t="s">
        <v>49</v>
      </c>
      <c r="F333" t="s">
        <v>19</v>
      </c>
      <c r="G333">
        <v>48000</v>
      </c>
      <c r="H333">
        <v>2</v>
      </c>
      <c r="I333" t="s">
        <v>15</v>
      </c>
      <c r="J333" t="s">
        <v>29</v>
      </c>
    </row>
    <row r="334" spans="3:10" x14ac:dyDescent="0.25">
      <c r="C334">
        <v>1329</v>
      </c>
      <c r="D334" t="s">
        <v>122</v>
      </c>
      <c r="E334" t="s">
        <v>49</v>
      </c>
      <c r="F334" t="s">
        <v>10</v>
      </c>
      <c r="G334">
        <v>15000</v>
      </c>
      <c r="I334" t="s">
        <v>28</v>
      </c>
      <c r="J334" t="s">
        <v>53</v>
      </c>
    </row>
    <row r="335" spans="3:10" x14ac:dyDescent="0.25">
      <c r="C335">
        <v>1330</v>
      </c>
      <c r="D335" t="s">
        <v>123</v>
      </c>
      <c r="E335" t="s">
        <v>45</v>
      </c>
      <c r="F335" t="s">
        <v>14</v>
      </c>
      <c r="G335">
        <v>53000</v>
      </c>
      <c r="I335" t="s">
        <v>24</v>
      </c>
      <c r="J335" t="s">
        <v>16</v>
      </c>
    </row>
    <row r="336" spans="3:10" x14ac:dyDescent="0.25">
      <c r="C336">
        <v>1331</v>
      </c>
      <c r="D336" t="s">
        <v>219</v>
      </c>
      <c r="E336" t="s">
        <v>9</v>
      </c>
      <c r="F336" t="s">
        <v>14</v>
      </c>
      <c r="H336">
        <v>2</v>
      </c>
      <c r="I336" t="s">
        <v>20</v>
      </c>
      <c r="J336" t="s">
        <v>21</v>
      </c>
    </row>
    <row r="337" spans="3:10" x14ac:dyDescent="0.25">
      <c r="C337">
        <v>1332</v>
      </c>
      <c r="D337" t="s">
        <v>125</v>
      </c>
      <c r="E337" t="s">
        <v>18</v>
      </c>
      <c r="F337" t="s">
        <v>14</v>
      </c>
      <c r="G337">
        <v>55000</v>
      </c>
      <c r="H337">
        <v>2</v>
      </c>
      <c r="I337" t="s">
        <v>28</v>
      </c>
      <c r="J337" t="s">
        <v>31</v>
      </c>
    </row>
    <row r="338" spans="3:10" x14ac:dyDescent="0.25">
      <c r="C338">
        <v>1333</v>
      </c>
      <c r="D338" t="s">
        <v>126</v>
      </c>
      <c r="E338" t="s">
        <v>18</v>
      </c>
      <c r="F338" t="s">
        <v>10</v>
      </c>
      <c r="G338">
        <v>15000</v>
      </c>
      <c r="I338" t="s">
        <v>34</v>
      </c>
      <c r="J338" t="s">
        <v>21</v>
      </c>
    </row>
    <row r="339" spans="3:10" x14ac:dyDescent="0.25">
      <c r="C339">
        <v>1334</v>
      </c>
      <c r="D339" t="s">
        <v>127</v>
      </c>
      <c r="E339" t="s">
        <v>18</v>
      </c>
      <c r="F339" t="s">
        <v>36</v>
      </c>
      <c r="G339">
        <v>48000</v>
      </c>
      <c r="H339">
        <v>3</v>
      </c>
      <c r="I339" t="s">
        <v>20</v>
      </c>
      <c r="J339" t="s">
        <v>29</v>
      </c>
    </row>
    <row r="340" spans="3:10" x14ac:dyDescent="0.25">
      <c r="C340">
        <v>1335</v>
      </c>
      <c r="D340" t="s">
        <v>271</v>
      </c>
      <c r="E340" t="s">
        <v>49</v>
      </c>
      <c r="F340" t="s">
        <v>14</v>
      </c>
      <c r="G340">
        <v>53000</v>
      </c>
      <c r="H340">
        <v>3</v>
      </c>
      <c r="I340" t="s">
        <v>38</v>
      </c>
      <c r="J340" t="s">
        <v>12</v>
      </c>
    </row>
    <row r="341" spans="3:10" x14ac:dyDescent="0.25">
      <c r="C341">
        <v>1336</v>
      </c>
      <c r="D341" t="s">
        <v>129</v>
      </c>
      <c r="E341" t="s">
        <v>33</v>
      </c>
      <c r="F341" t="s">
        <v>10</v>
      </c>
      <c r="G341">
        <v>15000</v>
      </c>
      <c r="H341">
        <v>2</v>
      </c>
      <c r="I341" t="s">
        <v>34</v>
      </c>
      <c r="J341" t="s">
        <v>21</v>
      </c>
    </row>
    <row r="342" spans="3:10" x14ac:dyDescent="0.25">
      <c r="C342">
        <v>1337</v>
      </c>
      <c r="D342" t="s">
        <v>130</v>
      </c>
      <c r="E342" t="s">
        <v>18</v>
      </c>
      <c r="F342" t="s">
        <v>36</v>
      </c>
      <c r="G342">
        <v>15000</v>
      </c>
      <c r="I342" t="s">
        <v>38</v>
      </c>
      <c r="J342" t="s">
        <v>53</v>
      </c>
    </row>
    <row r="343" spans="3:10" x14ac:dyDescent="0.25">
      <c r="C343">
        <v>1338</v>
      </c>
      <c r="D343" t="s">
        <v>222</v>
      </c>
      <c r="E343" t="s">
        <v>9</v>
      </c>
      <c r="F343" t="s">
        <v>19</v>
      </c>
      <c r="G343">
        <v>55000</v>
      </c>
      <c r="H343">
        <v>1</v>
      </c>
      <c r="I343" t="s">
        <v>20</v>
      </c>
      <c r="J343" t="s">
        <v>53</v>
      </c>
    </row>
    <row r="344" spans="3:10" x14ac:dyDescent="0.25">
      <c r="C344">
        <v>1339</v>
      </c>
      <c r="D344" t="s">
        <v>132</v>
      </c>
      <c r="E344" t="s">
        <v>23</v>
      </c>
      <c r="F344" t="s">
        <v>19</v>
      </c>
      <c r="G344">
        <v>52000</v>
      </c>
      <c r="I344" t="s">
        <v>34</v>
      </c>
      <c r="J344" t="s">
        <v>53</v>
      </c>
    </row>
    <row r="345" spans="3:10" x14ac:dyDescent="0.25">
      <c r="C345">
        <v>1340</v>
      </c>
      <c r="D345" t="s">
        <v>133</v>
      </c>
      <c r="E345" t="s">
        <v>26</v>
      </c>
      <c r="F345" t="s">
        <v>19</v>
      </c>
      <c r="G345">
        <v>20000</v>
      </c>
      <c r="H345">
        <v>1</v>
      </c>
      <c r="I345" t="s">
        <v>20</v>
      </c>
      <c r="J345" t="s">
        <v>21</v>
      </c>
    </row>
    <row r="346" spans="3:10" x14ac:dyDescent="0.25">
      <c r="C346">
        <v>1341</v>
      </c>
      <c r="D346" t="s">
        <v>224</v>
      </c>
      <c r="E346" t="s">
        <v>23</v>
      </c>
      <c r="F346" t="s">
        <v>27</v>
      </c>
      <c r="G346">
        <v>15000</v>
      </c>
      <c r="H346">
        <v>3</v>
      </c>
      <c r="I346" t="s">
        <v>11</v>
      </c>
      <c r="J346" t="s">
        <v>21</v>
      </c>
    </row>
    <row r="347" spans="3:10" x14ac:dyDescent="0.25">
      <c r="C347">
        <v>1342</v>
      </c>
      <c r="D347" t="s">
        <v>135</v>
      </c>
      <c r="E347" t="s">
        <v>23</v>
      </c>
      <c r="F347" t="s">
        <v>27</v>
      </c>
      <c r="G347">
        <v>55000</v>
      </c>
      <c r="I347" t="s">
        <v>34</v>
      </c>
      <c r="J347" t="s">
        <v>16</v>
      </c>
    </row>
    <row r="348" spans="3:10" x14ac:dyDescent="0.25">
      <c r="C348">
        <v>1343</v>
      </c>
      <c r="D348" t="s">
        <v>225</v>
      </c>
      <c r="E348" t="s">
        <v>26</v>
      </c>
      <c r="F348" t="s">
        <v>27</v>
      </c>
      <c r="G348">
        <v>52000</v>
      </c>
      <c r="H348">
        <v>2</v>
      </c>
      <c r="I348" t="s">
        <v>46</v>
      </c>
      <c r="J348" t="s">
        <v>16</v>
      </c>
    </row>
    <row r="349" spans="3:10" x14ac:dyDescent="0.25">
      <c r="C349">
        <v>1344</v>
      </c>
      <c r="D349" t="s">
        <v>137</v>
      </c>
      <c r="E349" t="s">
        <v>18</v>
      </c>
      <c r="F349" t="s">
        <v>14</v>
      </c>
      <c r="G349">
        <v>55000</v>
      </c>
      <c r="H349">
        <v>3</v>
      </c>
      <c r="I349" t="s">
        <v>20</v>
      </c>
      <c r="J349" t="s">
        <v>53</v>
      </c>
    </row>
    <row r="350" spans="3:10" x14ac:dyDescent="0.25">
      <c r="C350">
        <v>1345</v>
      </c>
      <c r="D350" t="s">
        <v>138</v>
      </c>
      <c r="E350" t="s">
        <v>45</v>
      </c>
      <c r="F350" t="s">
        <v>14</v>
      </c>
      <c r="G350">
        <v>15000</v>
      </c>
      <c r="I350" t="s">
        <v>15</v>
      </c>
      <c r="J350" t="s">
        <v>12</v>
      </c>
    </row>
    <row r="351" spans="3:10" x14ac:dyDescent="0.25">
      <c r="C351">
        <v>1346</v>
      </c>
      <c r="D351" t="s">
        <v>228</v>
      </c>
      <c r="E351" t="s">
        <v>45</v>
      </c>
      <c r="F351" t="s">
        <v>36</v>
      </c>
      <c r="G351">
        <v>20000</v>
      </c>
      <c r="H351">
        <v>1</v>
      </c>
      <c r="I351" t="s">
        <v>11</v>
      </c>
      <c r="J351" t="s">
        <v>29</v>
      </c>
    </row>
    <row r="352" spans="3:10" x14ac:dyDescent="0.25">
      <c r="C352">
        <v>1347</v>
      </c>
      <c r="D352" t="s">
        <v>272</v>
      </c>
      <c r="E352" t="s">
        <v>49</v>
      </c>
      <c r="F352" t="s">
        <v>19</v>
      </c>
      <c r="G352">
        <v>20000</v>
      </c>
      <c r="H352">
        <v>2</v>
      </c>
      <c r="I352" t="s">
        <v>11</v>
      </c>
      <c r="J352" t="s">
        <v>21</v>
      </c>
    </row>
    <row r="353" spans="3:10" x14ac:dyDescent="0.25">
      <c r="C353">
        <v>1348</v>
      </c>
      <c r="D353" t="s">
        <v>230</v>
      </c>
      <c r="E353" t="s">
        <v>26</v>
      </c>
      <c r="F353" t="s">
        <v>27</v>
      </c>
      <c r="G353">
        <v>21000</v>
      </c>
      <c r="I353" t="s">
        <v>11</v>
      </c>
      <c r="J353" t="s">
        <v>12</v>
      </c>
    </row>
    <row r="354" spans="3:10" x14ac:dyDescent="0.25">
      <c r="C354">
        <v>1349</v>
      </c>
      <c r="D354" t="s">
        <v>273</v>
      </c>
      <c r="E354" t="s">
        <v>9</v>
      </c>
      <c r="F354" t="s">
        <v>10</v>
      </c>
      <c r="G354">
        <v>20000</v>
      </c>
      <c r="H354">
        <v>1</v>
      </c>
      <c r="I354" t="s">
        <v>15</v>
      </c>
      <c r="J354" t="s">
        <v>31</v>
      </c>
    </row>
    <row r="355" spans="3:10" x14ac:dyDescent="0.25">
      <c r="C355">
        <v>1350</v>
      </c>
      <c r="D355" t="s">
        <v>143</v>
      </c>
      <c r="E355" t="s">
        <v>26</v>
      </c>
      <c r="F355" t="s">
        <v>19</v>
      </c>
      <c r="G355">
        <v>21000</v>
      </c>
      <c r="H355">
        <v>1</v>
      </c>
      <c r="I355" t="s">
        <v>15</v>
      </c>
      <c r="J355" t="s">
        <v>16</v>
      </c>
    </row>
    <row r="356" spans="3:10" x14ac:dyDescent="0.25">
      <c r="C356">
        <v>1351</v>
      </c>
      <c r="D356" t="s">
        <v>233</v>
      </c>
      <c r="E356" t="s">
        <v>26</v>
      </c>
      <c r="F356" t="s">
        <v>27</v>
      </c>
      <c r="G356">
        <v>20000</v>
      </c>
      <c r="H356">
        <v>2</v>
      </c>
      <c r="I356" t="s">
        <v>11</v>
      </c>
      <c r="J356" t="s">
        <v>21</v>
      </c>
    </row>
    <row r="357" spans="3:10" x14ac:dyDescent="0.25">
      <c r="C357">
        <v>1352</v>
      </c>
      <c r="D357" t="s">
        <v>234</v>
      </c>
      <c r="E357" t="s">
        <v>18</v>
      </c>
      <c r="F357" t="s">
        <v>14</v>
      </c>
      <c r="G357">
        <v>15000</v>
      </c>
      <c r="H357">
        <v>3</v>
      </c>
      <c r="I357" t="s">
        <v>15</v>
      </c>
      <c r="J357" t="s">
        <v>53</v>
      </c>
    </row>
    <row r="358" spans="3:10" x14ac:dyDescent="0.25">
      <c r="C358">
        <v>1353</v>
      </c>
      <c r="D358" t="s">
        <v>274</v>
      </c>
      <c r="E358" t="s">
        <v>18</v>
      </c>
      <c r="F358" t="s">
        <v>36</v>
      </c>
      <c r="G358">
        <v>55000</v>
      </c>
      <c r="I358" t="s">
        <v>46</v>
      </c>
      <c r="J358" t="s">
        <v>21</v>
      </c>
    </row>
    <row r="359" spans="3:10" x14ac:dyDescent="0.25">
      <c r="C359">
        <v>1354</v>
      </c>
      <c r="D359" t="s">
        <v>275</v>
      </c>
      <c r="E359" t="s">
        <v>26</v>
      </c>
      <c r="F359" t="s">
        <v>36</v>
      </c>
      <c r="G359">
        <v>21000</v>
      </c>
      <c r="H359">
        <v>1</v>
      </c>
      <c r="I359" t="s">
        <v>38</v>
      </c>
      <c r="J359" t="s">
        <v>53</v>
      </c>
    </row>
    <row r="360" spans="3:10" x14ac:dyDescent="0.25">
      <c r="C360">
        <v>1355</v>
      </c>
      <c r="D360" t="s">
        <v>148</v>
      </c>
      <c r="E360" t="s">
        <v>23</v>
      </c>
      <c r="F360" t="s">
        <v>36</v>
      </c>
      <c r="G360">
        <v>15000</v>
      </c>
      <c r="H360">
        <v>1</v>
      </c>
      <c r="I360" t="s">
        <v>34</v>
      </c>
      <c r="J360" t="s">
        <v>21</v>
      </c>
    </row>
    <row r="361" spans="3:10" x14ac:dyDescent="0.25">
      <c r="C361">
        <v>1356</v>
      </c>
      <c r="D361" t="s">
        <v>276</v>
      </c>
      <c r="E361" t="s">
        <v>23</v>
      </c>
      <c r="F361" t="s">
        <v>10</v>
      </c>
      <c r="G361">
        <v>15000</v>
      </c>
      <c r="H361">
        <v>3</v>
      </c>
      <c r="I361" t="s">
        <v>15</v>
      </c>
      <c r="J361" t="s">
        <v>31</v>
      </c>
    </row>
    <row r="362" spans="3:10" x14ac:dyDescent="0.25">
      <c r="C362">
        <v>1357</v>
      </c>
      <c r="D362" t="s">
        <v>150</v>
      </c>
      <c r="E362" t="s">
        <v>18</v>
      </c>
      <c r="F362" t="s">
        <v>19</v>
      </c>
      <c r="G362">
        <v>52000</v>
      </c>
      <c r="H362">
        <v>2</v>
      </c>
      <c r="I362" t="s">
        <v>15</v>
      </c>
      <c r="J362" t="s">
        <v>16</v>
      </c>
    </row>
    <row r="363" spans="3:10" x14ac:dyDescent="0.25">
      <c r="C363">
        <v>1358</v>
      </c>
      <c r="D363" t="s">
        <v>151</v>
      </c>
      <c r="E363" t="s">
        <v>18</v>
      </c>
      <c r="F363" t="s">
        <v>36</v>
      </c>
      <c r="G363">
        <v>55000</v>
      </c>
      <c r="H363">
        <v>2</v>
      </c>
      <c r="I363" t="s">
        <v>46</v>
      </c>
      <c r="J363" t="s">
        <v>21</v>
      </c>
    </row>
    <row r="364" spans="3:10" x14ac:dyDescent="0.25">
      <c r="C364">
        <v>1359</v>
      </c>
      <c r="D364" t="s">
        <v>152</v>
      </c>
      <c r="E364" t="s">
        <v>45</v>
      </c>
      <c r="F364" t="s">
        <v>10</v>
      </c>
      <c r="G364">
        <v>53000</v>
      </c>
      <c r="H364">
        <v>2</v>
      </c>
      <c r="I364" t="s">
        <v>34</v>
      </c>
      <c r="J364" t="s">
        <v>12</v>
      </c>
    </row>
    <row r="365" spans="3:10" x14ac:dyDescent="0.25">
      <c r="C365">
        <v>1360</v>
      </c>
      <c r="D365" t="s">
        <v>238</v>
      </c>
      <c r="E365" t="s">
        <v>26</v>
      </c>
      <c r="F365" t="s">
        <v>36</v>
      </c>
      <c r="G365">
        <v>48000</v>
      </c>
      <c r="I365" t="s">
        <v>11</v>
      </c>
      <c r="J365" t="s">
        <v>31</v>
      </c>
    </row>
    <row r="366" spans="3:10" x14ac:dyDescent="0.25">
      <c r="C366">
        <v>1361</v>
      </c>
      <c r="D366" t="s">
        <v>154</v>
      </c>
      <c r="E366" t="s">
        <v>45</v>
      </c>
      <c r="F366" t="s">
        <v>19</v>
      </c>
      <c r="G366">
        <v>53000</v>
      </c>
      <c r="H366">
        <v>3</v>
      </c>
      <c r="I366" t="s">
        <v>11</v>
      </c>
      <c r="J366" t="s">
        <v>21</v>
      </c>
    </row>
    <row r="367" spans="3:10" x14ac:dyDescent="0.25">
      <c r="C367">
        <v>1362</v>
      </c>
      <c r="D367" t="s">
        <v>277</v>
      </c>
      <c r="E367" t="s">
        <v>33</v>
      </c>
      <c r="F367" t="s">
        <v>27</v>
      </c>
      <c r="H367">
        <v>1</v>
      </c>
      <c r="I367" t="s">
        <v>20</v>
      </c>
      <c r="J367" t="s">
        <v>31</v>
      </c>
    </row>
    <row r="368" spans="3:10" x14ac:dyDescent="0.25">
      <c r="C368">
        <v>1363</v>
      </c>
      <c r="D368" t="s">
        <v>239</v>
      </c>
      <c r="E368" t="s">
        <v>9</v>
      </c>
      <c r="F368" t="s">
        <v>36</v>
      </c>
      <c r="G368">
        <v>53000</v>
      </c>
      <c r="H368">
        <v>3</v>
      </c>
      <c r="I368" t="s">
        <v>24</v>
      </c>
      <c r="J368" t="s">
        <v>31</v>
      </c>
    </row>
    <row r="369" spans="3:10" x14ac:dyDescent="0.25">
      <c r="C369">
        <v>1364</v>
      </c>
      <c r="D369" t="s">
        <v>278</v>
      </c>
      <c r="E369" t="s">
        <v>23</v>
      </c>
      <c r="F369" t="s">
        <v>36</v>
      </c>
      <c r="G369">
        <v>48000</v>
      </c>
      <c r="I369" t="s">
        <v>46</v>
      </c>
      <c r="J369" t="s">
        <v>29</v>
      </c>
    </row>
    <row r="370" spans="3:10" x14ac:dyDescent="0.25">
      <c r="C370">
        <v>1365</v>
      </c>
      <c r="D370" t="s">
        <v>240</v>
      </c>
      <c r="E370" t="s">
        <v>45</v>
      </c>
      <c r="F370" t="s">
        <v>10</v>
      </c>
      <c r="G370">
        <v>20000</v>
      </c>
      <c r="I370" t="s">
        <v>38</v>
      </c>
      <c r="J370" t="s">
        <v>31</v>
      </c>
    </row>
    <row r="371" spans="3:10" x14ac:dyDescent="0.25">
      <c r="C371">
        <v>1366</v>
      </c>
      <c r="D371" t="s">
        <v>30</v>
      </c>
      <c r="E371" t="s">
        <v>9</v>
      </c>
      <c r="F371" t="s">
        <v>36</v>
      </c>
      <c r="G371">
        <v>48000</v>
      </c>
      <c r="H371">
        <v>2</v>
      </c>
      <c r="I371" t="s">
        <v>20</v>
      </c>
      <c r="J371" t="s">
        <v>53</v>
      </c>
    </row>
    <row r="372" spans="3:10" x14ac:dyDescent="0.25">
      <c r="C372">
        <v>1367</v>
      </c>
      <c r="D372" t="s">
        <v>279</v>
      </c>
      <c r="E372" t="s">
        <v>33</v>
      </c>
      <c r="F372" t="s">
        <v>19</v>
      </c>
      <c r="G372">
        <v>15000</v>
      </c>
      <c r="H372">
        <v>2</v>
      </c>
      <c r="I372" t="s">
        <v>28</v>
      </c>
      <c r="J372" t="s">
        <v>31</v>
      </c>
    </row>
    <row r="373" spans="3:10" x14ac:dyDescent="0.25">
      <c r="C373">
        <v>1368</v>
      </c>
      <c r="D373" t="s">
        <v>242</v>
      </c>
      <c r="E373" t="s">
        <v>49</v>
      </c>
      <c r="F373" t="s">
        <v>19</v>
      </c>
      <c r="G373">
        <v>15000</v>
      </c>
      <c r="I373" t="s">
        <v>24</v>
      </c>
      <c r="J373" t="s">
        <v>16</v>
      </c>
    </row>
    <row r="374" spans="3:10" x14ac:dyDescent="0.25">
      <c r="C374">
        <v>1369</v>
      </c>
      <c r="D374" t="s">
        <v>280</v>
      </c>
      <c r="E374" t="s">
        <v>33</v>
      </c>
      <c r="F374" t="s">
        <v>36</v>
      </c>
      <c r="G374">
        <v>21000</v>
      </c>
      <c r="H374">
        <v>1</v>
      </c>
      <c r="I374" t="s">
        <v>15</v>
      </c>
      <c r="J374" t="s">
        <v>16</v>
      </c>
    </row>
    <row r="375" spans="3:10" x14ac:dyDescent="0.25">
      <c r="C375">
        <v>1370</v>
      </c>
      <c r="D375" t="s">
        <v>243</v>
      </c>
      <c r="E375" t="s">
        <v>45</v>
      </c>
      <c r="F375" t="s">
        <v>19</v>
      </c>
      <c r="G375">
        <v>53000</v>
      </c>
      <c r="H375">
        <v>3</v>
      </c>
      <c r="I375" t="s">
        <v>24</v>
      </c>
      <c r="J375" t="s">
        <v>29</v>
      </c>
    </row>
    <row r="376" spans="3:10" x14ac:dyDescent="0.25">
      <c r="C376">
        <v>1371</v>
      </c>
      <c r="D376" t="s">
        <v>281</v>
      </c>
      <c r="E376" t="s">
        <v>49</v>
      </c>
      <c r="F376" t="s">
        <v>14</v>
      </c>
      <c r="G376">
        <v>21000</v>
      </c>
      <c r="H376">
        <v>1</v>
      </c>
      <c r="I376" t="s">
        <v>11</v>
      </c>
      <c r="J376" t="s">
        <v>21</v>
      </c>
    </row>
    <row r="377" spans="3:10" x14ac:dyDescent="0.25">
      <c r="C377">
        <v>1372</v>
      </c>
      <c r="D377" t="s">
        <v>41</v>
      </c>
      <c r="E377" t="s">
        <v>18</v>
      </c>
      <c r="F377" t="s">
        <v>14</v>
      </c>
      <c r="G377">
        <v>15000</v>
      </c>
      <c r="H377">
        <v>3</v>
      </c>
      <c r="I377" t="s">
        <v>46</v>
      </c>
      <c r="J377" t="s">
        <v>16</v>
      </c>
    </row>
    <row r="378" spans="3:10" x14ac:dyDescent="0.25">
      <c r="C378">
        <v>1373</v>
      </c>
      <c r="D378" t="s">
        <v>161</v>
      </c>
      <c r="E378" t="s">
        <v>49</v>
      </c>
      <c r="F378" t="s">
        <v>19</v>
      </c>
      <c r="G378">
        <v>48000</v>
      </c>
      <c r="I378" t="s">
        <v>11</v>
      </c>
      <c r="J378" t="s">
        <v>31</v>
      </c>
    </row>
    <row r="379" spans="3:10" x14ac:dyDescent="0.25">
      <c r="C379">
        <v>1374</v>
      </c>
      <c r="D379" t="s">
        <v>162</v>
      </c>
      <c r="E379" t="s">
        <v>23</v>
      </c>
      <c r="F379" t="s">
        <v>10</v>
      </c>
      <c r="G379">
        <v>21000</v>
      </c>
      <c r="H379">
        <v>3</v>
      </c>
      <c r="I379" t="s">
        <v>15</v>
      </c>
      <c r="J379" t="s">
        <v>53</v>
      </c>
    </row>
    <row r="380" spans="3:10" x14ac:dyDescent="0.25">
      <c r="C380">
        <v>1375</v>
      </c>
      <c r="D380" t="s">
        <v>282</v>
      </c>
      <c r="E380" t="s">
        <v>9</v>
      </c>
      <c r="F380" t="s">
        <v>19</v>
      </c>
      <c r="G380">
        <v>15000</v>
      </c>
      <c r="I380" t="s">
        <v>28</v>
      </c>
      <c r="J380" t="s">
        <v>16</v>
      </c>
    </row>
    <row r="381" spans="3:10" x14ac:dyDescent="0.25">
      <c r="C381">
        <v>1376</v>
      </c>
      <c r="D381" t="s">
        <v>164</v>
      </c>
      <c r="E381" t="s">
        <v>45</v>
      </c>
      <c r="F381" t="s">
        <v>36</v>
      </c>
      <c r="G381">
        <v>21000</v>
      </c>
      <c r="I381" t="s">
        <v>24</v>
      </c>
      <c r="J381" t="s">
        <v>29</v>
      </c>
    </row>
    <row r="382" spans="3:10" x14ac:dyDescent="0.25">
      <c r="C382">
        <v>1377</v>
      </c>
      <c r="D382" t="s">
        <v>48</v>
      </c>
      <c r="E382" t="s">
        <v>9</v>
      </c>
      <c r="F382" t="s">
        <v>36</v>
      </c>
      <c r="G382">
        <v>52000</v>
      </c>
      <c r="H382">
        <v>2</v>
      </c>
      <c r="I382" t="s">
        <v>46</v>
      </c>
      <c r="J382" t="s">
        <v>31</v>
      </c>
    </row>
    <row r="383" spans="3:10" x14ac:dyDescent="0.25">
      <c r="C383">
        <v>1378</v>
      </c>
      <c r="D383" t="s">
        <v>50</v>
      </c>
      <c r="E383" t="s">
        <v>9</v>
      </c>
      <c r="F383" t="s">
        <v>36</v>
      </c>
      <c r="G383">
        <v>21000</v>
      </c>
      <c r="H383">
        <v>3</v>
      </c>
      <c r="I383" t="s">
        <v>28</v>
      </c>
      <c r="J383" t="s">
        <v>12</v>
      </c>
    </row>
    <row r="384" spans="3:10" x14ac:dyDescent="0.25">
      <c r="C384">
        <v>1379</v>
      </c>
      <c r="D384" t="s">
        <v>283</v>
      </c>
      <c r="E384" t="s">
        <v>45</v>
      </c>
      <c r="F384" t="s">
        <v>19</v>
      </c>
      <c r="G384">
        <v>48000</v>
      </c>
      <c r="H384">
        <v>3</v>
      </c>
      <c r="I384" t="s">
        <v>34</v>
      </c>
      <c r="J384" t="s">
        <v>29</v>
      </c>
    </row>
    <row r="385" spans="3:10" x14ac:dyDescent="0.25">
      <c r="C385">
        <v>1380</v>
      </c>
      <c r="D385" t="s">
        <v>52</v>
      </c>
      <c r="E385" t="s">
        <v>26</v>
      </c>
      <c r="F385" t="s">
        <v>27</v>
      </c>
      <c r="G385">
        <v>48000</v>
      </c>
      <c r="I385" t="s">
        <v>28</v>
      </c>
      <c r="J385" t="s">
        <v>12</v>
      </c>
    </row>
    <row r="386" spans="3:10" x14ac:dyDescent="0.25">
      <c r="C386">
        <v>1381</v>
      </c>
      <c r="D386" t="s">
        <v>284</v>
      </c>
      <c r="E386" t="s">
        <v>26</v>
      </c>
      <c r="F386" t="s">
        <v>27</v>
      </c>
      <c r="G386">
        <v>21000</v>
      </c>
      <c r="H386">
        <v>2</v>
      </c>
      <c r="I386" t="s">
        <v>28</v>
      </c>
      <c r="J386" t="s">
        <v>31</v>
      </c>
    </row>
    <row r="387" spans="3:10" x14ac:dyDescent="0.25">
      <c r="C387">
        <v>1382</v>
      </c>
      <c r="D387" t="s">
        <v>245</v>
      </c>
      <c r="E387" t="s">
        <v>18</v>
      </c>
      <c r="F387" t="s">
        <v>14</v>
      </c>
      <c r="H387">
        <v>1</v>
      </c>
      <c r="I387" t="s">
        <v>46</v>
      </c>
      <c r="J387" t="s">
        <v>53</v>
      </c>
    </row>
    <row r="388" spans="3:10" x14ac:dyDescent="0.25">
      <c r="C388">
        <v>1383</v>
      </c>
      <c r="D388" t="s">
        <v>246</v>
      </c>
      <c r="E388" t="s">
        <v>49</v>
      </c>
      <c r="F388" t="s">
        <v>14</v>
      </c>
      <c r="G388">
        <v>15000</v>
      </c>
      <c r="H388">
        <v>1</v>
      </c>
      <c r="I388" t="s">
        <v>24</v>
      </c>
      <c r="J388" t="s">
        <v>12</v>
      </c>
    </row>
    <row r="389" spans="3:10" x14ac:dyDescent="0.25">
      <c r="C389">
        <v>1384</v>
      </c>
      <c r="D389" t="s">
        <v>171</v>
      </c>
      <c r="E389" t="s">
        <v>18</v>
      </c>
      <c r="F389" t="s">
        <v>36</v>
      </c>
      <c r="G389">
        <v>15000</v>
      </c>
      <c r="H389">
        <v>1</v>
      </c>
      <c r="I389" t="s">
        <v>34</v>
      </c>
      <c r="J389" t="s">
        <v>16</v>
      </c>
    </row>
    <row r="390" spans="3:10" x14ac:dyDescent="0.25">
      <c r="C390">
        <v>1385</v>
      </c>
      <c r="D390" t="s">
        <v>58</v>
      </c>
      <c r="E390" t="s">
        <v>33</v>
      </c>
      <c r="F390" t="s">
        <v>19</v>
      </c>
      <c r="G390">
        <v>53000</v>
      </c>
      <c r="I390" t="s">
        <v>15</v>
      </c>
      <c r="J390" t="s">
        <v>53</v>
      </c>
    </row>
    <row r="391" spans="3:10" x14ac:dyDescent="0.25">
      <c r="C391">
        <v>1386</v>
      </c>
      <c r="D391" t="s">
        <v>285</v>
      </c>
      <c r="E391" t="s">
        <v>26</v>
      </c>
      <c r="F391" t="s">
        <v>14</v>
      </c>
      <c r="G391">
        <v>48000</v>
      </c>
      <c r="H391">
        <v>3</v>
      </c>
      <c r="I391" t="s">
        <v>15</v>
      </c>
      <c r="J391" t="s">
        <v>53</v>
      </c>
    </row>
    <row r="392" spans="3:10" x14ac:dyDescent="0.25">
      <c r="C392">
        <v>1387</v>
      </c>
      <c r="D392" t="s">
        <v>248</v>
      </c>
      <c r="E392" t="s">
        <v>26</v>
      </c>
      <c r="F392" t="s">
        <v>19</v>
      </c>
      <c r="G392">
        <v>15000</v>
      </c>
      <c r="H392">
        <v>3</v>
      </c>
      <c r="I392" t="s">
        <v>34</v>
      </c>
      <c r="J392" t="s">
        <v>29</v>
      </c>
    </row>
    <row r="393" spans="3:10" x14ac:dyDescent="0.25">
      <c r="C393">
        <v>1388</v>
      </c>
      <c r="D393" t="s">
        <v>286</v>
      </c>
      <c r="E393" t="s">
        <v>18</v>
      </c>
      <c r="F393" t="s">
        <v>14</v>
      </c>
      <c r="G393">
        <v>55000</v>
      </c>
      <c r="H393">
        <v>3</v>
      </c>
      <c r="I393" t="s">
        <v>34</v>
      </c>
      <c r="J393" t="s">
        <v>53</v>
      </c>
    </row>
    <row r="394" spans="3:10" x14ac:dyDescent="0.25">
      <c r="C394">
        <v>1389</v>
      </c>
      <c r="D394" t="s">
        <v>62</v>
      </c>
      <c r="E394" t="s">
        <v>9</v>
      </c>
      <c r="F394" t="s">
        <v>10</v>
      </c>
      <c r="G394">
        <v>20000</v>
      </c>
      <c r="H394">
        <v>3</v>
      </c>
      <c r="I394" t="s">
        <v>34</v>
      </c>
      <c r="J394" t="s">
        <v>53</v>
      </c>
    </row>
    <row r="395" spans="3:10" x14ac:dyDescent="0.25">
      <c r="C395">
        <v>1390</v>
      </c>
      <c r="D395" t="s">
        <v>176</v>
      </c>
      <c r="E395" t="s">
        <v>23</v>
      </c>
      <c r="F395" t="s">
        <v>36</v>
      </c>
      <c r="H395">
        <v>3</v>
      </c>
      <c r="I395" t="s">
        <v>20</v>
      </c>
      <c r="J395" t="s">
        <v>21</v>
      </c>
    </row>
    <row r="396" spans="3:10" x14ac:dyDescent="0.25">
      <c r="C396">
        <v>1391</v>
      </c>
      <c r="D396" t="s">
        <v>287</v>
      </c>
      <c r="E396" t="s">
        <v>26</v>
      </c>
      <c r="F396" t="s">
        <v>19</v>
      </c>
      <c r="G396">
        <v>48000</v>
      </c>
      <c r="H396">
        <v>3</v>
      </c>
      <c r="I396" t="s">
        <v>34</v>
      </c>
      <c r="J396" t="s">
        <v>29</v>
      </c>
    </row>
    <row r="397" spans="3:10" x14ac:dyDescent="0.25">
      <c r="C397">
        <v>1392</v>
      </c>
      <c r="D397" t="s">
        <v>288</v>
      </c>
      <c r="E397" t="s">
        <v>26</v>
      </c>
      <c r="F397" t="s">
        <v>14</v>
      </c>
      <c r="G397">
        <v>21000</v>
      </c>
      <c r="I397" t="s">
        <v>28</v>
      </c>
      <c r="J397" t="s">
        <v>31</v>
      </c>
    </row>
    <row r="398" spans="3:10" x14ac:dyDescent="0.25">
      <c r="C398">
        <v>1393</v>
      </c>
      <c r="D398" t="s">
        <v>177</v>
      </c>
      <c r="E398" t="s">
        <v>26</v>
      </c>
      <c r="F398" t="s">
        <v>10</v>
      </c>
      <c r="G398">
        <v>48000</v>
      </c>
      <c r="H398">
        <v>3</v>
      </c>
      <c r="I398" t="s">
        <v>24</v>
      </c>
      <c r="J398" t="s">
        <v>29</v>
      </c>
    </row>
    <row r="399" spans="3:10" x14ac:dyDescent="0.25">
      <c r="C399">
        <v>1394</v>
      </c>
      <c r="D399" t="s">
        <v>289</v>
      </c>
      <c r="E399" t="s">
        <v>45</v>
      </c>
      <c r="F399" t="s">
        <v>10</v>
      </c>
      <c r="G399">
        <v>15000</v>
      </c>
      <c r="I399" t="s">
        <v>34</v>
      </c>
      <c r="J399" t="s">
        <v>16</v>
      </c>
    </row>
    <row r="400" spans="3:10" x14ac:dyDescent="0.25">
      <c r="C400">
        <v>1395</v>
      </c>
      <c r="D400" t="s">
        <v>68</v>
      </c>
      <c r="E400" t="s">
        <v>26</v>
      </c>
      <c r="F400" t="s">
        <v>14</v>
      </c>
      <c r="G400">
        <v>55000</v>
      </c>
      <c r="H400">
        <v>2</v>
      </c>
      <c r="I400" t="s">
        <v>11</v>
      </c>
      <c r="J400" t="s">
        <v>29</v>
      </c>
    </row>
    <row r="401" spans="3:10" x14ac:dyDescent="0.25">
      <c r="C401">
        <v>1396</v>
      </c>
      <c r="D401" t="s">
        <v>69</v>
      </c>
      <c r="E401" t="s">
        <v>9</v>
      </c>
      <c r="F401" t="s">
        <v>19</v>
      </c>
      <c r="G401">
        <v>53000</v>
      </c>
      <c r="H401">
        <v>2</v>
      </c>
      <c r="I401" t="s">
        <v>34</v>
      </c>
      <c r="J401" t="s">
        <v>21</v>
      </c>
    </row>
    <row r="402" spans="3:10" x14ac:dyDescent="0.25">
      <c r="C402">
        <v>1397</v>
      </c>
      <c r="D402" t="s">
        <v>70</v>
      </c>
      <c r="E402" t="s">
        <v>18</v>
      </c>
      <c r="F402" t="s">
        <v>14</v>
      </c>
      <c r="G402">
        <v>55000</v>
      </c>
      <c r="H402">
        <v>1</v>
      </c>
      <c r="I402" t="s">
        <v>11</v>
      </c>
      <c r="J402" t="s">
        <v>21</v>
      </c>
    </row>
    <row r="403" spans="3:10" x14ac:dyDescent="0.25">
      <c r="C403">
        <v>1398</v>
      </c>
      <c r="D403" t="s">
        <v>71</v>
      </c>
      <c r="E403" t="s">
        <v>18</v>
      </c>
      <c r="F403" t="s">
        <v>19</v>
      </c>
      <c r="H403">
        <v>1</v>
      </c>
      <c r="I403" t="s">
        <v>34</v>
      </c>
      <c r="J403" t="s">
        <v>53</v>
      </c>
    </row>
    <row r="404" spans="3:10" x14ac:dyDescent="0.25">
      <c r="C404">
        <v>1399</v>
      </c>
      <c r="D404" t="s">
        <v>72</v>
      </c>
      <c r="E404" t="s">
        <v>23</v>
      </c>
      <c r="F404" t="s">
        <v>27</v>
      </c>
      <c r="G404">
        <v>15000</v>
      </c>
      <c r="I404" t="s">
        <v>34</v>
      </c>
      <c r="J404" t="s">
        <v>53</v>
      </c>
    </row>
    <row r="405" spans="3:10" x14ac:dyDescent="0.25">
      <c r="C405">
        <v>1400</v>
      </c>
      <c r="D405" t="s">
        <v>181</v>
      </c>
      <c r="E405" t="s">
        <v>49</v>
      </c>
      <c r="F405" t="s">
        <v>14</v>
      </c>
      <c r="I405" t="s">
        <v>15</v>
      </c>
      <c r="J405" t="s">
        <v>53</v>
      </c>
    </row>
    <row r="406" spans="3:10" x14ac:dyDescent="0.25">
      <c r="C406">
        <v>1401</v>
      </c>
      <c r="D406" t="s">
        <v>290</v>
      </c>
      <c r="E406" t="s">
        <v>26</v>
      </c>
      <c r="F406" t="s">
        <v>10</v>
      </c>
      <c r="G406">
        <v>53000</v>
      </c>
      <c r="H406">
        <v>2</v>
      </c>
      <c r="I406" t="s">
        <v>15</v>
      </c>
      <c r="J406" t="s">
        <v>16</v>
      </c>
    </row>
    <row r="407" spans="3:10" x14ac:dyDescent="0.25">
      <c r="C407">
        <v>1402</v>
      </c>
      <c r="D407" t="s">
        <v>254</v>
      </c>
      <c r="E407" t="s">
        <v>23</v>
      </c>
      <c r="F407" t="s">
        <v>19</v>
      </c>
      <c r="G407">
        <v>48000</v>
      </c>
      <c r="H407">
        <v>2</v>
      </c>
      <c r="I407" t="s">
        <v>15</v>
      </c>
      <c r="J407" t="s">
        <v>16</v>
      </c>
    </row>
    <row r="408" spans="3:10" x14ac:dyDescent="0.25">
      <c r="C408">
        <v>1403</v>
      </c>
      <c r="D408" t="s">
        <v>291</v>
      </c>
      <c r="E408" t="s">
        <v>9</v>
      </c>
      <c r="F408" t="s">
        <v>14</v>
      </c>
      <c r="G408">
        <v>53000</v>
      </c>
      <c r="H408">
        <v>2</v>
      </c>
      <c r="I408" t="s">
        <v>20</v>
      </c>
      <c r="J408" t="s">
        <v>16</v>
      </c>
    </row>
    <row r="409" spans="3:10" x14ac:dyDescent="0.25">
      <c r="C409">
        <v>1404</v>
      </c>
      <c r="D409" t="s">
        <v>292</v>
      </c>
      <c r="E409" t="s">
        <v>23</v>
      </c>
      <c r="F409" t="s">
        <v>14</v>
      </c>
      <c r="G409">
        <v>52000</v>
      </c>
      <c r="H409">
        <v>2</v>
      </c>
      <c r="I409" t="s">
        <v>11</v>
      </c>
      <c r="J409" t="s">
        <v>31</v>
      </c>
    </row>
    <row r="410" spans="3:10" x14ac:dyDescent="0.25">
      <c r="C410">
        <v>1405</v>
      </c>
      <c r="D410" t="s">
        <v>78</v>
      </c>
      <c r="E410" t="s">
        <v>23</v>
      </c>
      <c r="F410" t="s">
        <v>27</v>
      </c>
      <c r="G410">
        <v>20000</v>
      </c>
      <c r="I410" t="s">
        <v>38</v>
      </c>
      <c r="J410" t="s">
        <v>21</v>
      </c>
    </row>
    <row r="411" spans="3:10" x14ac:dyDescent="0.25">
      <c r="C411">
        <v>1406</v>
      </c>
      <c r="D411" t="s">
        <v>184</v>
      </c>
      <c r="E411" t="s">
        <v>9</v>
      </c>
      <c r="F411" t="s">
        <v>27</v>
      </c>
      <c r="G411">
        <v>15000</v>
      </c>
      <c r="I411" t="s">
        <v>34</v>
      </c>
      <c r="J411" t="s">
        <v>31</v>
      </c>
    </row>
    <row r="412" spans="3:10" x14ac:dyDescent="0.25">
      <c r="C412">
        <v>1407</v>
      </c>
      <c r="D412" t="s">
        <v>257</v>
      </c>
      <c r="E412" t="s">
        <v>23</v>
      </c>
      <c r="F412" t="s">
        <v>36</v>
      </c>
      <c r="G412">
        <v>53000</v>
      </c>
      <c r="I412" t="s">
        <v>24</v>
      </c>
      <c r="J412" t="s">
        <v>29</v>
      </c>
    </row>
    <row r="413" spans="3:10" x14ac:dyDescent="0.25">
      <c r="C413">
        <v>1408</v>
      </c>
      <c r="D413" t="s">
        <v>81</v>
      </c>
      <c r="E413" t="s">
        <v>23</v>
      </c>
      <c r="F413" t="s">
        <v>19</v>
      </c>
      <c r="G413">
        <v>21000</v>
      </c>
      <c r="H413">
        <v>1</v>
      </c>
      <c r="I413" t="s">
        <v>24</v>
      </c>
      <c r="J413" t="s">
        <v>53</v>
      </c>
    </row>
    <row r="414" spans="3:10" x14ac:dyDescent="0.25">
      <c r="C414">
        <v>1409</v>
      </c>
      <c r="D414" t="s">
        <v>185</v>
      </c>
      <c r="E414" t="s">
        <v>49</v>
      </c>
      <c r="F414" t="s">
        <v>19</v>
      </c>
      <c r="G414">
        <v>21000</v>
      </c>
      <c r="I414" t="s">
        <v>15</v>
      </c>
      <c r="J414" t="s">
        <v>12</v>
      </c>
    </row>
    <row r="415" spans="3:10" x14ac:dyDescent="0.25">
      <c r="C415">
        <v>1410</v>
      </c>
      <c r="D415" t="s">
        <v>186</v>
      </c>
      <c r="E415" t="s">
        <v>33</v>
      </c>
      <c r="F415" t="s">
        <v>27</v>
      </c>
      <c r="H415">
        <v>2</v>
      </c>
      <c r="I415" t="s">
        <v>15</v>
      </c>
      <c r="J415" t="s">
        <v>16</v>
      </c>
    </row>
    <row r="416" spans="3:10" x14ac:dyDescent="0.25">
      <c r="C416">
        <v>1411</v>
      </c>
      <c r="D416" t="s">
        <v>84</v>
      </c>
      <c r="E416" t="s">
        <v>45</v>
      </c>
      <c r="F416" t="s">
        <v>10</v>
      </c>
      <c r="G416">
        <v>52000</v>
      </c>
      <c r="I416" t="s">
        <v>11</v>
      </c>
      <c r="J416" t="s">
        <v>29</v>
      </c>
    </row>
    <row r="417" spans="3:10" x14ac:dyDescent="0.25">
      <c r="C417">
        <v>1412</v>
      </c>
      <c r="D417" t="s">
        <v>293</v>
      </c>
      <c r="E417" t="s">
        <v>26</v>
      </c>
      <c r="F417" t="s">
        <v>36</v>
      </c>
      <c r="G417">
        <v>52000</v>
      </c>
      <c r="H417">
        <v>2</v>
      </c>
      <c r="I417" t="s">
        <v>11</v>
      </c>
      <c r="J417" t="s">
        <v>12</v>
      </c>
    </row>
    <row r="418" spans="3:10" x14ac:dyDescent="0.25">
      <c r="C418">
        <v>1413</v>
      </c>
      <c r="D418" t="s">
        <v>294</v>
      </c>
      <c r="E418" t="s">
        <v>33</v>
      </c>
      <c r="F418" t="s">
        <v>10</v>
      </c>
      <c r="G418">
        <v>55000</v>
      </c>
      <c r="H418">
        <v>1</v>
      </c>
      <c r="I418" t="s">
        <v>28</v>
      </c>
      <c r="J418" t="s">
        <v>16</v>
      </c>
    </row>
    <row r="419" spans="3:10" x14ac:dyDescent="0.25">
      <c r="C419">
        <v>1414</v>
      </c>
      <c r="D419" t="s">
        <v>189</v>
      </c>
      <c r="E419" t="s">
        <v>49</v>
      </c>
      <c r="F419" t="s">
        <v>10</v>
      </c>
      <c r="G419">
        <v>53000</v>
      </c>
      <c r="H419">
        <v>3</v>
      </c>
      <c r="I419" t="s">
        <v>24</v>
      </c>
      <c r="J419" t="s">
        <v>21</v>
      </c>
    </row>
    <row r="420" spans="3:10" x14ac:dyDescent="0.25">
      <c r="C420">
        <v>1415</v>
      </c>
      <c r="D420" t="s">
        <v>259</v>
      </c>
      <c r="E420" t="s">
        <v>23</v>
      </c>
      <c r="F420" t="s">
        <v>10</v>
      </c>
      <c r="G420">
        <v>20000</v>
      </c>
      <c r="H420">
        <v>1</v>
      </c>
      <c r="I420" t="s">
        <v>15</v>
      </c>
      <c r="J420" t="s">
        <v>29</v>
      </c>
    </row>
    <row r="421" spans="3:10" x14ac:dyDescent="0.25">
      <c r="C421">
        <v>1416</v>
      </c>
      <c r="D421" t="s">
        <v>260</v>
      </c>
      <c r="E421" t="s">
        <v>18</v>
      </c>
      <c r="F421" t="s">
        <v>10</v>
      </c>
      <c r="G421">
        <v>52000</v>
      </c>
      <c r="H421">
        <v>1</v>
      </c>
      <c r="I421" t="s">
        <v>11</v>
      </c>
      <c r="J421" t="s">
        <v>21</v>
      </c>
    </row>
    <row r="422" spans="3:10" x14ac:dyDescent="0.25">
      <c r="C422">
        <v>1417</v>
      </c>
      <c r="D422" t="s">
        <v>192</v>
      </c>
      <c r="E422" t="s">
        <v>45</v>
      </c>
      <c r="F422" t="s">
        <v>19</v>
      </c>
      <c r="G422">
        <v>21000</v>
      </c>
      <c r="H422">
        <v>1</v>
      </c>
      <c r="I422" t="s">
        <v>28</v>
      </c>
      <c r="J422" t="s">
        <v>21</v>
      </c>
    </row>
    <row r="423" spans="3:10" x14ac:dyDescent="0.25">
      <c r="C423">
        <v>1418</v>
      </c>
      <c r="D423" t="s">
        <v>91</v>
      </c>
      <c r="E423" t="s">
        <v>49</v>
      </c>
      <c r="F423" t="s">
        <v>36</v>
      </c>
      <c r="G423">
        <v>21000</v>
      </c>
      <c r="H423">
        <v>1</v>
      </c>
      <c r="I423" t="s">
        <v>11</v>
      </c>
      <c r="J423" t="s">
        <v>21</v>
      </c>
    </row>
    <row r="424" spans="3:10" x14ac:dyDescent="0.25">
      <c r="C424">
        <v>1419</v>
      </c>
      <c r="D424" t="s">
        <v>92</v>
      </c>
      <c r="E424" t="s">
        <v>18</v>
      </c>
      <c r="F424" t="s">
        <v>19</v>
      </c>
      <c r="I424" t="s">
        <v>38</v>
      </c>
      <c r="J424" t="s">
        <v>21</v>
      </c>
    </row>
    <row r="425" spans="3:10" x14ac:dyDescent="0.25">
      <c r="C425">
        <v>1420</v>
      </c>
      <c r="D425" t="s">
        <v>195</v>
      </c>
      <c r="E425" t="s">
        <v>26</v>
      </c>
      <c r="F425" t="s">
        <v>19</v>
      </c>
      <c r="G425">
        <v>21000</v>
      </c>
      <c r="I425" t="s">
        <v>28</v>
      </c>
      <c r="J425" t="s">
        <v>31</v>
      </c>
    </row>
    <row r="426" spans="3:10" x14ac:dyDescent="0.25">
      <c r="C426">
        <v>1421</v>
      </c>
      <c r="D426" t="s">
        <v>94</v>
      </c>
      <c r="E426" t="s">
        <v>9</v>
      </c>
      <c r="F426" t="s">
        <v>36</v>
      </c>
      <c r="G426">
        <v>52000</v>
      </c>
      <c r="H426">
        <v>3</v>
      </c>
      <c r="I426" t="s">
        <v>20</v>
      </c>
      <c r="J426" t="s">
        <v>12</v>
      </c>
    </row>
    <row r="427" spans="3:10" x14ac:dyDescent="0.25">
      <c r="C427">
        <v>1422</v>
      </c>
      <c r="D427" t="s">
        <v>95</v>
      </c>
      <c r="E427" t="s">
        <v>18</v>
      </c>
      <c r="F427" t="s">
        <v>27</v>
      </c>
      <c r="G427">
        <v>55000</v>
      </c>
      <c r="H427">
        <v>2</v>
      </c>
      <c r="I427" t="s">
        <v>11</v>
      </c>
      <c r="J427" t="s">
        <v>31</v>
      </c>
    </row>
    <row r="428" spans="3:10" x14ac:dyDescent="0.25">
      <c r="C428">
        <v>1423</v>
      </c>
      <c r="D428" t="s">
        <v>263</v>
      </c>
      <c r="E428" t="s">
        <v>33</v>
      </c>
      <c r="F428" t="s">
        <v>19</v>
      </c>
      <c r="G428">
        <v>52000</v>
      </c>
      <c r="H428">
        <v>1</v>
      </c>
      <c r="I428" t="s">
        <v>28</v>
      </c>
      <c r="J428" t="s">
        <v>29</v>
      </c>
    </row>
    <row r="429" spans="3:10" x14ac:dyDescent="0.25">
      <c r="C429">
        <v>1424</v>
      </c>
      <c r="D429" t="s">
        <v>264</v>
      </c>
      <c r="E429" t="s">
        <v>26</v>
      </c>
      <c r="F429" t="s">
        <v>27</v>
      </c>
      <c r="G429">
        <v>20000</v>
      </c>
      <c r="H429">
        <v>1</v>
      </c>
      <c r="I429" t="s">
        <v>15</v>
      </c>
      <c r="J429" t="s">
        <v>21</v>
      </c>
    </row>
    <row r="430" spans="3:10" x14ac:dyDescent="0.25">
      <c r="C430">
        <v>1425</v>
      </c>
      <c r="D430" t="s">
        <v>198</v>
      </c>
      <c r="E430" t="s">
        <v>26</v>
      </c>
      <c r="F430" t="s">
        <v>14</v>
      </c>
      <c r="G430">
        <v>21000</v>
      </c>
      <c r="H430">
        <v>2</v>
      </c>
      <c r="I430" t="s">
        <v>20</v>
      </c>
      <c r="J430" t="s">
        <v>21</v>
      </c>
    </row>
    <row r="431" spans="3:10" x14ac:dyDescent="0.25">
      <c r="C431">
        <v>1426</v>
      </c>
      <c r="D431" t="s">
        <v>199</v>
      </c>
      <c r="E431" t="s">
        <v>23</v>
      </c>
      <c r="F431" t="s">
        <v>36</v>
      </c>
      <c r="I431" t="s">
        <v>38</v>
      </c>
      <c r="J431" t="s">
        <v>53</v>
      </c>
    </row>
    <row r="432" spans="3:10" x14ac:dyDescent="0.25">
      <c r="C432">
        <v>1427</v>
      </c>
      <c r="D432" t="s">
        <v>295</v>
      </c>
      <c r="E432" t="s">
        <v>9</v>
      </c>
      <c r="F432" t="s">
        <v>27</v>
      </c>
      <c r="G432">
        <v>48000</v>
      </c>
      <c r="H432">
        <v>2</v>
      </c>
      <c r="I432" t="s">
        <v>11</v>
      </c>
      <c r="J432" t="s">
        <v>53</v>
      </c>
    </row>
    <row r="433" spans="3:10" x14ac:dyDescent="0.25">
      <c r="C433">
        <v>1428</v>
      </c>
      <c r="D433" t="s">
        <v>101</v>
      </c>
      <c r="E433" t="s">
        <v>9</v>
      </c>
      <c r="F433" t="s">
        <v>10</v>
      </c>
      <c r="G433">
        <v>21000</v>
      </c>
      <c r="H433">
        <v>2</v>
      </c>
      <c r="I433" t="s">
        <v>20</v>
      </c>
      <c r="J433" t="s">
        <v>16</v>
      </c>
    </row>
    <row r="434" spans="3:10" x14ac:dyDescent="0.25">
      <c r="C434">
        <v>1429</v>
      </c>
      <c r="D434" t="s">
        <v>266</v>
      </c>
      <c r="E434" t="s">
        <v>26</v>
      </c>
      <c r="F434" t="s">
        <v>36</v>
      </c>
      <c r="G434">
        <v>53000</v>
      </c>
      <c r="I434" t="s">
        <v>38</v>
      </c>
      <c r="J434" t="s">
        <v>29</v>
      </c>
    </row>
    <row r="435" spans="3:10" x14ac:dyDescent="0.25">
      <c r="C435">
        <v>1430</v>
      </c>
      <c r="D435" t="s">
        <v>202</v>
      </c>
      <c r="E435" t="s">
        <v>45</v>
      </c>
      <c r="F435" t="s">
        <v>19</v>
      </c>
      <c r="G435">
        <v>55000</v>
      </c>
      <c r="I435" t="s">
        <v>34</v>
      </c>
      <c r="J435" t="s">
        <v>21</v>
      </c>
    </row>
    <row r="436" spans="3:10" x14ac:dyDescent="0.25">
      <c r="C436">
        <v>1431</v>
      </c>
      <c r="D436" t="s">
        <v>203</v>
      </c>
      <c r="E436" t="s">
        <v>49</v>
      </c>
      <c r="F436" t="s">
        <v>36</v>
      </c>
      <c r="G436">
        <v>20000</v>
      </c>
      <c r="I436" t="s">
        <v>38</v>
      </c>
      <c r="J436" t="s">
        <v>31</v>
      </c>
    </row>
    <row r="437" spans="3:10" x14ac:dyDescent="0.25">
      <c r="C437">
        <v>1432</v>
      </c>
      <c r="D437" t="s">
        <v>105</v>
      </c>
      <c r="E437" t="s">
        <v>18</v>
      </c>
      <c r="F437" t="s">
        <v>14</v>
      </c>
      <c r="G437">
        <v>15000</v>
      </c>
      <c r="H437">
        <v>3</v>
      </c>
      <c r="I437" t="s">
        <v>34</v>
      </c>
      <c r="J437" t="s">
        <v>53</v>
      </c>
    </row>
    <row r="438" spans="3:10" x14ac:dyDescent="0.25">
      <c r="C438">
        <v>1433</v>
      </c>
      <c r="D438" t="s">
        <v>205</v>
      </c>
      <c r="E438" t="s">
        <v>9</v>
      </c>
      <c r="F438" t="s">
        <v>14</v>
      </c>
      <c r="G438">
        <v>21000</v>
      </c>
      <c r="H438">
        <v>2</v>
      </c>
      <c r="I438" t="s">
        <v>11</v>
      </c>
      <c r="J438" t="s">
        <v>12</v>
      </c>
    </row>
    <row r="439" spans="3:10" x14ac:dyDescent="0.25">
      <c r="C439">
        <v>1434</v>
      </c>
      <c r="D439" t="s">
        <v>107</v>
      </c>
      <c r="E439" t="s">
        <v>18</v>
      </c>
      <c r="F439" t="s">
        <v>10</v>
      </c>
      <c r="G439">
        <v>52000</v>
      </c>
      <c r="H439">
        <v>2</v>
      </c>
      <c r="I439" t="s">
        <v>34</v>
      </c>
      <c r="J439" t="s">
        <v>29</v>
      </c>
    </row>
    <row r="440" spans="3:10" x14ac:dyDescent="0.25">
      <c r="C440">
        <v>1435</v>
      </c>
      <c r="D440" t="s">
        <v>207</v>
      </c>
      <c r="E440" t="s">
        <v>18</v>
      </c>
      <c r="F440" t="s">
        <v>27</v>
      </c>
      <c r="G440">
        <v>20000</v>
      </c>
      <c r="H440">
        <v>3</v>
      </c>
      <c r="I440" t="s">
        <v>38</v>
      </c>
      <c r="J440" t="s">
        <v>53</v>
      </c>
    </row>
    <row r="441" spans="3:10" x14ac:dyDescent="0.25">
      <c r="C441">
        <v>1436</v>
      </c>
      <c r="D441" t="s">
        <v>109</v>
      </c>
      <c r="E441" t="s">
        <v>45</v>
      </c>
      <c r="F441" t="s">
        <v>19</v>
      </c>
      <c r="G441">
        <v>15000</v>
      </c>
      <c r="H441">
        <v>3</v>
      </c>
      <c r="I441" t="s">
        <v>11</v>
      </c>
      <c r="J441" t="s">
        <v>21</v>
      </c>
    </row>
    <row r="442" spans="3:10" x14ac:dyDescent="0.25">
      <c r="C442">
        <v>1437</v>
      </c>
      <c r="D442" t="s">
        <v>209</v>
      </c>
      <c r="E442" t="s">
        <v>49</v>
      </c>
      <c r="F442" t="s">
        <v>36</v>
      </c>
      <c r="G442">
        <v>21000</v>
      </c>
      <c r="H442">
        <v>3</v>
      </c>
      <c r="I442" t="s">
        <v>34</v>
      </c>
      <c r="J442" t="s">
        <v>53</v>
      </c>
    </row>
    <row r="443" spans="3:10" x14ac:dyDescent="0.25">
      <c r="C443">
        <v>1438</v>
      </c>
      <c r="D443" t="s">
        <v>111</v>
      </c>
      <c r="E443" t="s">
        <v>26</v>
      </c>
      <c r="F443" t="s">
        <v>19</v>
      </c>
      <c r="H443">
        <v>2</v>
      </c>
      <c r="I443" t="s">
        <v>24</v>
      </c>
      <c r="J443" t="s">
        <v>31</v>
      </c>
    </row>
    <row r="444" spans="3:10" x14ac:dyDescent="0.25">
      <c r="C444">
        <v>1439</v>
      </c>
      <c r="D444" t="s">
        <v>296</v>
      </c>
      <c r="E444" t="s">
        <v>9</v>
      </c>
      <c r="F444" t="s">
        <v>36</v>
      </c>
      <c r="I444" t="s">
        <v>28</v>
      </c>
      <c r="J444" t="s">
        <v>29</v>
      </c>
    </row>
    <row r="445" spans="3:10" x14ac:dyDescent="0.25">
      <c r="C445">
        <v>1440</v>
      </c>
      <c r="D445" t="s">
        <v>211</v>
      </c>
      <c r="E445" t="s">
        <v>9</v>
      </c>
      <c r="F445" t="s">
        <v>36</v>
      </c>
      <c r="I445" t="s">
        <v>24</v>
      </c>
      <c r="J445" t="s">
        <v>16</v>
      </c>
    </row>
    <row r="446" spans="3:10" x14ac:dyDescent="0.25">
      <c r="C446">
        <v>1441</v>
      </c>
      <c r="D446" t="s">
        <v>297</v>
      </c>
      <c r="E446" t="s">
        <v>33</v>
      </c>
      <c r="F446" t="s">
        <v>14</v>
      </c>
      <c r="G446">
        <v>53000</v>
      </c>
      <c r="H446">
        <v>2</v>
      </c>
      <c r="I446" t="s">
        <v>15</v>
      </c>
      <c r="J446" t="s">
        <v>12</v>
      </c>
    </row>
    <row r="447" spans="3:10" x14ac:dyDescent="0.25">
      <c r="C447">
        <v>1442</v>
      </c>
      <c r="D447" t="s">
        <v>115</v>
      </c>
      <c r="E447" t="s">
        <v>18</v>
      </c>
      <c r="F447" t="s">
        <v>10</v>
      </c>
      <c r="G447">
        <v>55000</v>
      </c>
      <c r="H447">
        <v>1</v>
      </c>
      <c r="I447" t="s">
        <v>46</v>
      </c>
      <c r="J447" t="s">
        <v>12</v>
      </c>
    </row>
    <row r="448" spans="3:10" x14ac:dyDescent="0.25">
      <c r="C448">
        <v>1443</v>
      </c>
      <c r="D448" t="s">
        <v>298</v>
      </c>
      <c r="E448" t="s">
        <v>9</v>
      </c>
      <c r="F448" t="s">
        <v>10</v>
      </c>
      <c r="G448">
        <v>52000</v>
      </c>
      <c r="H448">
        <v>1</v>
      </c>
      <c r="I448" t="s">
        <v>38</v>
      </c>
      <c r="J448" t="s">
        <v>31</v>
      </c>
    </row>
    <row r="449" spans="3:10" x14ac:dyDescent="0.25">
      <c r="C449">
        <v>1444</v>
      </c>
      <c r="D449" t="s">
        <v>269</v>
      </c>
      <c r="E449" t="s">
        <v>9</v>
      </c>
      <c r="F449" t="s">
        <v>14</v>
      </c>
      <c r="G449">
        <v>53000</v>
      </c>
      <c r="H449">
        <v>2</v>
      </c>
      <c r="I449" t="s">
        <v>20</v>
      </c>
      <c r="J449" t="s">
        <v>16</v>
      </c>
    </row>
    <row r="450" spans="3:10" x14ac:dyDescent="0.25">
      <c r="C450">
        <v>1445</v>
      </c>
      <c r="D450" t="s">
        <v>118</v>
      </c>
      <c r="E450" t="s">
        <v>23</v>
      </c>
      <c r="F450" t="s">
        <v>19</v>
      </c>
      <c r="G450">
        <v>48000</v>
      </c>
      <c r="I450" t="s">
        <v>34</v>
      </c>
      <c r="J450" t="s">
        <v>53</v>
      </c>
    </row>
    <row r="451" spans="3:10" x14ac:dyDescent="0.25">
      <c r="C451">
        <v>1446</v>
      </c>
      <c r="D451" t="s">
        <v>119</v>
      </c>
      <c r="E451" t="s">
        <v>49</v>
      </c>
      <c r="F451" t="s">
        <v>19</v>
      </c>
      <c r="G451">
        <v>48000</v>
      </c>
      <c r="H451">
        <v>3</v>
      </c>
      <c r="I451" t="s">
        <v>15</v>
      </c>
      <c r="J451" t="s">
        <v>53</v>
      </c>
    </row>
    <row r="452" spans="3:10" x14ac:dyDescent="0.25">
      <c r="C452">
        <v>1447</v>
      </c>
      <c r="D452" t="s">
        <v>120</v>
      </c>
      <c r="E452" t="s">
        <v>9</v>
      </c>
      <c r="F452" t="s">
        <v>36</v>
      </c>
      <c r="G452">
        <v>55000</v>
      </c>
      <c r="H452">
        <v>1</v>
      </c>
      <c r="I452" t="s">
        <v>28</v>
      </c>
      <c r="J452" t="s">
        <v>16</v>
      </c>
    </row>
    <row r="453" spans="3:10" x14ac:dyDescent="0.25">
      <c r="C453">
        <v>1448</v>
      </c>
      <c r="D453" t="s">
        <v>121</v>
      </c>
      <c r="E453" t="s">
        <v>45</v>
      </c>
      <c r="F453" t="s">
        <v>14</v>
      </c>
      <c r="G453">
        <v>55000</v>
      </c>
      <c r="H453">
        <v>1</v>
      </c>
      <c r="I453" t="s">
        <v>46</v>
      </c>
      <c r="J453" t="s">
        <v>53</v>
      </c>
    </row>
    <row r="454" spans="3:10" x14ac:dyDescent="0.25">
      <c r="C454">
        <v>1449</v>
      </c>
      <c r="D454" t="s">
        <v>299</v>
      </c>
      <c r="E454" t="s">
        <v>9</v>
      </c>
      <c r="F454" t="s">
        <v>19</v>
      </c>
      <c r="G454">
        <v>15000</v>
      </c>
      <c r="H454">
        <v>3</v>
      </c>
      <c r="I454" t="s">
        <v>28</v>
      </c>
      <c r="J454" t="s">
        <v>29</v>
      </c>
    </row>
    <row r="455" spans="3:10" x14ac:dyDescent="0.25">
      <c r="C455">
        <v>1450</v>
      </c>
      <c r="D455" t="s">
        <v>123</v>
      </c>
      <c r="E455" t="s">
        <v>18</v>
      </c>
      <c r="F455" t="s">
        <v>19</v>
      </c>
      <c r="G455">
        <v>21000</v>
      </c>
      <c r="H455">
        <v>3</v>
      </c>
      <c r="I455" t="s">
        <v>24</v>
      </c>
      <c r="J455" t="s">
        <v>16</v>
      </c>
    </row>
    <row r="456" spans="3:10" x14ac:dyDescent="0.25">
      <c r="C456">
        <v>1451</v>
      </c>
      <c r="D456" t="s">
        <v>219</v>
      </c>
      <c r="E456" t="s">
        <v>26</v>
      </c>
      <c r="F456" t="s">
        <v>10</v>
      </c>
      <c r="G456">
        <v>20000</v>
      </c>
      <c r="H456">
        <v>2</v>
      </c>
      <c r="I456" t="s">
        <v>20</v>
      </c>
      <c r="J456" t="s">
        <v>29</v>
      </c>
    </row>
    <row r="457" spans="3:10" x14ac:dyDescent="0.25">
      <c r="C457">
        <v>1452</v>
      </c>
      <c r="D457" t="s">
        <v>125</v>
      </c>
      <c r="E457" t="s">
        <v>49</v>
      </c>
      <c r="F457" t="s">
        <v>10</v>
      </c>
      <c r="G457">
        <v>48000</v>
      </c>
      <c r="I457" t="s">
        <v>11</v>
      </c>
      <c r="J457" t="s">
        <v>29</v>
      </c>
    </row>
    <row r="458" spans="3:10" x14ac:dyDescent="0.25">
      <c r="C458">
        <v>1453</v>
      </c>
      <c r="D458" t="s">
        <v>126</v>
      </c>
      <c r="E458" t="s">
        <v>18</v>
      </c>
      <c r="F458" t="s">
        <v>19</v>
      </c>
      <c r="G458">
        <v>20000</v>
      </c>
      <c r="H458">
        <v>2</v>
      </c>
      <c r="I458" t="s">
        <v>20</v>
      </c>
      <c r="J458" t="s">
        <v>21</v>
      </c>
    </row>
    <row r="459" spans="3:10" x14ac:dyDescent="0.25">
      <c r="C459">
        <v>1454</v>
      </c>
      <c r="D459" t="s">
        <v>300</v>
      </c>
      <c r="E459" t="s">
        <v>18</v>
      </c>
      <c r="F459" t="s">
        <v>36</v>
      </c>
      <c r="G459">
        <v>55000</v>
      </c>
      <c r="H459">
        <v>1</v>
      </c>
      <c r="I459" t="s">
        <v>20</v>
      </c>
      <c r="J459" t="s">
        <v>53</v>
      </c>
    </row>
    <row r="460" spans="3:10" x14ac:dyDescent="0.25">
      <c r="C460">
        <v>1455</v>
      </c>
      <c r="D460" t="s">
        <v>301</v>
      </c>
      <c r="E460" t="s">
        <v>49</v>
      </c>
      <c r="F460" t="s">
        <v>36</v>
      </c>
      <c r="G460">
        <v>20000</v>
      </c>
      <c r="H460">
        <v>3</v>
      </c>
      <c r="I460" t="s">
        <v>28</v>
      </c>
      <c r="J460" t="s">
        <v>29</v>
      </c>
    </row>
    <row r="461" spans="3:10" x14ac:dyDescent="0.25">
      <c r="C461">
        <v>1456</v>
      </c>
      <c r="D461" t="s">
        <v>221</v>
      </c>
      <c r="E461" t="s">
        <v>9</v>
      </c>
      <c r="F461" t="s">
        <v>19</v>
      </c>
      <c r="G461">
        <v>20000</v>
      </c>
      <c r="H461">
        <v>2</v>
      </c>
      <c r="I461" t="s">
        <v>20</v>
      </c>
      <c r="J461" t="s">
        <v>53</v>
      </c>
    </row>
    <row r="462" spans="3:10" x14ac:dyDescent="0.25">
      <c r="C462">
        <v>1457</v>
      </c>
      <c r="D462" t="s">
        <v>130</v>
      </c>
      <c r="E462" t="s">
        <v>18</v>
      </c>
      <c r="F462" t="s">
        <v>27</v>
      </c>
      <c r="G462">
        <v>48000</v>
      </c>
      <c r="H462">
        <v>3</v>
      </c>
      <c r="I462" t="s">
        <v>38</v>
      </c>
      <c r="J462" t="s">
        <v>16</v>
      </c>
    </row>
    <row r="463" spans="3:10" x14ac:dyDescent="0.25">
      <c r="C463">
        <v>1458</v>
      </c>
      <c r="D463" t="s">
        <v>131</v>
      </c>
      <c r="E463" t="s">
        <v>45</v>
      </c>
      <c r="F463" t="s">
        <v>36</v>
      </c>
      <c r="G463">
        <v>15000</v>
      </c>
      <c r="H463">
        <v>3</v>
      </c>
      <c r="I463" t="s">
        <v>38</v>
      </c>
      <c r="J463" t="s">
        <v>31</v>
      </c>
    </row>
    <row r="464" spans="3:10" x14ac:dyDescent="0.25">
      <c r="C464">
        <v>1459</v>
      </c>
      <c r="D464" t="s">
        <v>302</v>
      </c>
      <c r="E464" t="s">
        <v>9</v>
      </c>
      <c r="F464" t="s">
        <v>19</v>
      </c>
      <c r="H464">
        <v>1</v>
      </c>
      <c r="I464" t="s">
        <v>46</v>
      </c>
      <c r="J464" t="s">
        <v>29</v>
      </c>
    </row>
    <row r="465" spans="3:10" x14ac:dyDescent="0.25">
      <c r="C465">
        <v>1460</v>
      </c>
      <c r="D465" t="s">
        <v>223</v>
      </c>
      <c r="E465" t="s">
        <v>33</v>
      </c>
      <c r="F465" t="s">
        <v>19</v>
      </c>
      <c r="G465">
        <v>55000</v>
      </c>
      <c r="H465">
        <v>2</v>
      </c>
      <c r="I465" t="s">
        <v>20</v>
      </c>
      <c r="J465" t="s">
        <v>31</v>
      </c>
    </row>
    <row r="466" spans="3:10" x14ac:dyDescent="0.25">
      <c r="C466">
        <v>1461</v>
      </c>
      <c r="D466" t="s">
        <v>303</v>
      </c>
      <c r="E466" t="s">
        <v>18</v>
      </c>
      <c r="F466" t="s">
        <v>10</v>
      </c>
      <c r="H466">
        <v>2</v>
      </c>
      <c r="I466" t="s">
        <v>46</v>
      </c>
      <c r="J466" t="s">
        <v>16</v>
      </c>
    </row>
    <row r="467" spans="3:10" x14ac:dyDescent="0.25">
      <c r="C467">
        <v>1462</v>
      </c>
      <c r="D467" t="s">
        <v>304</v>
      </c>
      <c r="E467" t="s">
        <v>9</v>
      </c>
      <c r="F467" t="s">
        <v>36</v>
      </c>
      <c r="G467">
        <v>15000</v>
      </c>
      <c r="H467">
        <v>3</v>
      </c>
      <c r="I467" t="s">
        <v>24</v>
      </c>
      <c r="J467" t="s">
        <v>12</v>
      </c>
    </row>
    <row r="468" spans="3:10" x14ac:dyDescent="0.25">
      <c r="C468">
        <v>1463</v>
      </c>
      <c r="D468" t="s">
        <v>136</v>
      </c>
      <c r="E468" t="s">
        <v>26</v>
      </c>
      <c r="F468" t="s">
        <v>10</v>
      </c>
      <c r="G468">
        <v>53000</v>
      </c>
      <c r="H468">
        <v>2</v>
      </c>
      <c r="I468" t="s">
        <v>24</v>
      </c>
      <c r="J468" t="s">
        <v>21</v>
      </c>
    </row>
    <row r="469" spans="3:10" x14ac:dyDescent="0.25">
      <c r="C469">
        <v>1464</v>
      </c>
      <c r="D469" t="s">
        <v>305</v>
      </c>
      <c r="E469" t="s">
        <v>18</v>
      </c>
      <c r="F469" t="s">
        <v>19</v>
      </c>
      <c r="H469">
        <v>1</v>
      </c>
      <c r="I469" t="s">
        <v>11</v>
      </c>
      <c r="J469" t="s">
        <v>31</v>
      </c>
    </row>
    <row r="470" spans="3:10" x14ac:dyDescent="0.25">
      <c r="C470">
        <v>1465</v>
      </c>
      <c r="D470" t="s">
        <v>306</v>
      </c>
      <c r="E470" t="s">
        <v>9</v>
      </c>
      <c r="F470" t="s">
        <v>10</v>
      </c>
      <c r="G470">
        <v>21000</v>
      </c>
      <c r="I470" t="s">
        <v>46</v>
      </c>
      <c r="J470" t="s">
        <v>29</v>
      </c>
    </row>
    <row r="471" spans="3:10" x14ac:dyDescent="0.25">
      <c r="C471">
        <v>1466</v>
      </c>
      <c r="D471" t="s">
        <v>307</v>
      </c>
      <c r="E471" t="s">
        <v>49</v>
      </c>
      <c r="F471" t="s">
        <v>19</v>
      </c>
      <c r="G471">
        <v>53000</v>
      </c>
      <c r="H471">
        <v>2</v>
      </c>
      <c r="I471" t="s">
        <v>34</v>
      </c>
      <c r="J471" t="s">
        <v>21</v>
      </c>
    </row>
    <row r="472" spans="3:10" x14ac:dyDescent="0.25">
      <c r="C472">
        <v>1467</v>
      </c>
      <c r="D472" t="s">
        <v>229</v>
      </c>
      <c r="E472" t="s">
        <v>45</v>
      </c>
      <c r="F472" t="s">
        <v>19</v>
      </c>
      <c r="G472">
        <v>52000</v>
      </c>
      <c r="H472">
        <v>1</v>
      </c>
      <c r="I472" t="s">
        <v>38</v>
      </c>
      <c r="J472" t="s">
        <v>21</v>
      </c>
    </row>
    <row r="473" spans="3:10" x14ac:dyDescent="0.25">
      <c r="C473">
        <v>1468</v>
      </c>
      <c r="D473" t="s">
        <v>141</v>
      </c>
      <c r="E473" t="s">
        <v>26</v>
      </c>
      <c r="F473" t="s">
        <v>19</v>
      </c>
      <c r="G473">
        <v>52000</v>
      </c>
      <c r="H473">
        <v>3</v>
      </c>
      <c r="I473" t="s">
        <v>20</v>
      </c>
      <c r="J473" t="s">
        <v>16</v>
      </c>
    </row>
    <row r="474" spans="3:10" x14ac:dyDescent="0.25">
      <c r="C474">
        <v>1469</v>
      </c>
      <c r="D474" t="s">
        <v>142</v>
      </c>
      <c r="E474" t="s">
        <v>23</v>
      </c>
      <c r="F474" t="s">
        <v>19</v>
      </c>
      <c r="G474">
        <v>52000</v>
      </c>
      <c r="I474" t="s">
        <v>24</v>
      </c>
      <c r="J474" t="s">
        <v>16</v>
      </c>
    </row>
    <row r="475" spans="3:10" x14ac:dyDescent="0.25">
      <c r="C475">
        <v>1470</v>
      </c>
      <c r="D475" t="s">
        <v>232</v>
      </c>
      <c r="E475" t="s">
        <v>33</v>
      </c>
      <c r="F475" t="s">
        <v>27</v>
      </c>
      <c r="G475">
        <v>48000</v>
      </c>
      <c r="H475">
        <v>2</v>
      </c>
      <c r="I475" t="s">
        <v>28</v>
      </c>
      <c r="J475" t="s">
        <v>29</v>
      </c>
    </row>
    <row r="476" spans="3:10" x14ac:dyDescent="0.25">
      <c r="C476">
        <v>1471</v>
      </c>
      <c r="D476" t="s">
        <v>233</v>
      </c>
      <c r="E476" t="s">
        <v>33</v>
      </c>
      <c r="F476" t="s">
        <v>27</v>
      </c>
      <c r="G476">
        <v>52000</v>
      </c>
      <c r="H476">
        <v>2</v>
      </c>
      <c r="I476" t="s">
        <v>24</v>
      </c>
      <c r="J476" t="s">
        <v>31</v>
      </c>
    </row>
    <row r="477" spans="3:10" x14ac:dyDescent="0.25">
      <c r="C477">
        <v>1472</v>
      </c>
      <c r="D477" t="s">
        <v>234</v>
      </c>
      <c r="E477" t="s">
        <v>45</v>
      </c>
      <c r="F477" t="s">
        <v>14</v>
      </c>
      <c r="G477">
        <v>21000</v>
      </c>
      <c r="H477">
        <v>3</v>
      </c>
      <c r="I477" t="s">
        <v>46</v>
      </c>
      <c r="J477" t="s">
        <v>53</v>
      </c>
    </row>
    <row r="478" spans="3:10" x14ac:dyDescent="0.25">
      <c r="C478">
        <v>1473</v>
      </c>
      <c r="D478" t="s">
        <v>235</v>
      </c>
      <c r="E478" t="s">
        <v>23</v>
      </c>
      <c r="F478" t="s">
        <v>27</v>
      </c>
      <c r="G478">
        <v>21000</v>
      </c>
      <c r="H478">
        <v>1</v>
      </c>
      <c r="I478" t="s">
        <v>34</v>
      </c>
      <c r="J478" t="s">
        <v>53</v>
      </c>
    </row>
    <row r="479" spans="3:10" x14ac:dyDescent="0.25">
      <c r="C479">
        <v>1474</v>
      </c>
      <c r="D479" t="s">
        <v>308</v>
      </c>
      <c r="E479" t="s">
        <v>49</v>
      </c>
      <c r="F479" t="s">
        <v>27</v>
      </c>
      <c r="G479">
        <v>53000</v>
      </c>
      <c r="H479">
        <v>2</v>
      </c>
      <c r="I479" t="s">
        <v>15</v>
      </c>
      <c r="J479" t="s">
        <v>53</v>
      </c>
    </row>
    <row r="480" spans="3:10" x14ac:dyDescent="0.25">
      <c r="C480">
        <v>1475</v>
      </c>
      <c r="D480" t="s">
        <v>148</v>
      </c>
      <c r="E480" t="s">
        <v>18</v>
      </c>
      <c r="F480" t="s">
        <v>27</v>
      </c>
      <c r="G480">
        <v>15000</v>
      </c>
      <c r="H480">
        <v>2</v>
      </c>
      <c r="I480" t="s">
        <v>20</v>
      </c>
      <c r="J480" t="s">
        <v>21</v>
      </c>
    </row>
    <row r="481" spans="3:10" x14ac:dyDescent="0.25">
      <c r="C481">
        <v>1476</v>
      </c>
      <c r="D481" t="s">
        <v>276</v>
      </c>
      <c r="E481" t="s">
        <v>45</v>
      </c>
      <c r="F481" t="s">
        <v>19</v>
      </c>
      <c r="G481">
        <v>15000</v>
      </c>
      <c r="H481">
        <v>2</v>
      </c>
      <c r="I481" t="s">
        <v>20</v>
      </c>
      <c r="J481" t="s">
        <v>16</v>
      </c>
    </row>
    <row r="482" spans="3:10" x14ac:dyDescent="0.25">
      <c r="C482">
        <v>1477</v>
      </c>
      <c r="D482" t="s">
        <v>236</v>
      </c>
      <c r="E482" t="s">
        <v>45</v>
      </c>
      <c r="F482" t="s">
        <v>10</v>
      </c>
      <c r="G482">
        <v>52000</v>
      </c>
      <c r="H482">
        <v>1</v>
      </c>
      <c r="I482" t="s">
        <v>34</v>
      </c>
      <c r="J482" t="s">
        <v>12</v>
      </c>
    </row>
    <row r="483" spans="3:10" x14ac:dyDescent="0.25">
      <c r="C483">
        <v>1478</v>
      </c>
      <c r="D483" t="s">
        <v>309</v>
      </c>
      <c r="E483" t="s">
        <v>9</v>
      </c>
      <c r="F483" t="s">
        <v>10</v>
      </c>
      <c r="G483">
        <v>21000</v>
      </c>
      <c r="H483">
        <v>1</v>
      </c>
      <c r="I483" t="s">
        <v>38</v>
      </c>
      <c r="J483" t="s">
        <v>12</v>
      </c>
    </row>
    <row r="484" spans="3:10" x14ac:dyDescent="0.25">
      <c r="C484">
        <v>1479</v>
      </c>
      <c r="D484" t="s">
        <v>237</v>
      </c>
      <c r="E484" t="s">
        <v>49</v>
      </c>
      <c r="F484" t="s">
        <v>36</v>
      </c>
      <c r="G484">
        <v>48000</v>
      </c>
      <c r="H484">
        <v>2</v>
      </c>
      <c r="I484" t="s">
        <v>38</v>
      </c>
      <c r="J484" t="s">
        <v>21</v>
      </c>
    </row>
    <row r="485" spans="3:10" x14ac:dyDescent="0.25">
      <c r="C485">
        <v>1480</v>
      </c>
      <c r="D485" t="s">
        <v>153</v>
      </c>
      <c r="E485" t="s">
        <v>33</v>
      </c>
      <c r="F485" t="s">
        <v>14</v>
      </c>
      <c r="G485">
        <v>53000</v>
      </c>
      <c r="I485" t="s">
        <v>15</v>
      </c>
      <c r="J485" t="s">
        <v>16</v>
      </c>
    </row>
    <row r="486" spans="3:10" x14ac:dyDescent="0.25">
      <c r="C486">
        <v>1481</v>
      </c>
      <c r="D486" t="s">
        <v>310</v>
      </c>
      <c r="E486" t="s">
        <v>33</v>
      </c>
      <c r="F486" t="s">
        <v>36</v>
      </c>
      <c r="G486">
        <v>21000</v>
      </c>
      <c r="H486">
        <v>3</v>
      </c>
      <c r="I486" t="s">
        <v>38</v>
      </c>
      <c r="J486" t="s">
        <v>29</v>
      </c>
    </row>
    <row r="487" spans="3:10" x14ac:dyDescent="0.25">
      <c r="C487">
        <v>1482</v>
      </c>
      <c r="D487" t="s">
        <v>277</v>
      </c>
      <c r="E487" t="s">
        <v>33</v>
      </c>
      <c r="F487" t="s">
        <v>10</v>
      </c>
      <c r="G487">
        <v>52000</v>
      </c>
      <c r="H487">
        <v>2</v>
      </c>
      <c r="I487" t="s">
        <v>46</v>
      </c>
      <c r="J487" t="s">
        <v>12</v>
      </c>
    </row>
    <row r="488" spans="3:10" x14ac:dyDescent="0.25">
      <c r="C488">
        <v>1483</v>
      </c>
      <c r="D488" t="s">
        <v>17</v>
      </c>
      <c r="E488" t="s">
        <v>18</v>
      </c>
      <c r="F488" t="s">
        <v>14</v>
      </c>
      <c r="G488">
        <v>21000</v>
      </c>
      <c r="H488">
        <v>1</v>
      </c>
      <c r="I488" t="s">
        <v>46</v>
      </c>
      <c r="J488" t="s">
        <v>21</v>
      </c>
    </row>
    <row r="489" spans="3:10" x14ac:dyDescent="0.25">
      <c r="C489">
        <v>1484</v>
      </c>
      <c r="D489" t="s">
        <v>156</v>
      </c>
      <c r="E489" t="s">
        <v>18</v>
      </c>
      <c r="F489" t="s">
        <v>19</v>
      </c>
      <c r="G489">
        <v>48000</v>
      </c>
      <c r="H489">
        <v>2</v>
      </c>
      <c r="I489" t="s">
        <v>15</v>
      </c>
      <c r="J489" t="s">
        <v>12</v>
      </c>
    </row>
    <row r="490" spans="3:10" x14ac:dyDescent="0.25">
      <c r="C490">
        <v>1485</v>
      </c>
      <c r="D490" t="s">
        <v>240</v>
      </c>
      <c r="E490" t="s">
        <v>23</v>
      </c>
      <c r="F490" t="s">
        <v>36</v>
      </c>
      <c r="G490">
        <v>52000</v>
      </c>
      <c r="H490">
        <v>3</v>
      </c>
      <c r="I490" t="s">
        <v>46</v>
      </c>
      <c r="J490" t="s">
        <v>12</v>
      </c>
    </row>
    <row r="491" spans="3:10" x14ac:dyDescent="0.25">
      <c r="C491">
        <v>1486</v>
      </c>
      <c r="D491" t="s">
        <v>157</v>
      </c>
      <c r="E491" t="s">
        <v>18</v>
      </c>
      <c r="F491" t="s">
        <v>27</v>
      </c>
      <c r="G491">
        <v>55000</v>
      </c>
      <c r="H491">
        <v>1</v>
      </c>
      <c r="I491" t="s">
        <v>34</v>
      </c>
      <c r="J491" t="s">
        <v>53</v>
      </c>
    </row>
    <row r="492" spans="3:10" x14ac:dyDescent="0.25">
      <c r="C492">
        <v>1487</v>
      </c>
      <c r="D492" t="s">
        <v>32</v>
      </c>
      <c r="E492" t="s">
        <v>23</v>
      </c>
      <c r="F492" t="s">
        <v>14</v>
      </c>
      <c r="G492">
        <v>52000</v>
      </c>
      <c r="H492">
        <v>3</v>
      </c>
      <c r="I492" t="s">
        <v>11</v>
      </c>
      <c r="J492" t="s">
        <v>16</v>
      </c>
    </row>
    <row r="493" spans="3:10" x14ac:dyDescent="0.25">
      <c r="C493">
        <v>1488</v>
      </c>
      <c r="D493" t="s">
        <v>35</v>
      </c>
      <c r="E493" t="s">
        <v>23</v>
      </c>
      <c r="F493" t="s">
        <v>36</v>
      </c>
      <c r="G493">
        <v>21000</v>
      </c>
      <c r="H493">
        <v>3</v>
      </c>
      <c r="I493" t="s">
        <v>15</v>
      </c>
      <c r="J493" t="s">
        <v>53</v>
      </c>
    </row>
    <row r="494" spans="3:10" x14ac:dyDescent="0.25">
      <c r="C494">
        <v>1489</v>
      </c>
      <c r="D494" t="s">
        <v>280</v>
      </c>
      <c r="E494" t="s">
        <v>33</v>
      </c>
      <c r="F494" t="s">
        <v>36</v>
      </c>
      <c r="G494">
        <v>48000</v>
      </c>
      <c r="I494" t="s">
        <v>11</v>
      </c>
      <c r="J494" t="s">
        <v>16</v>
      </c>
    </row>
    <row r="495" spans="3:10" x14ac:dyDescent="0.25">
      <c r="C495">
        <v>1490</v>
      </c>
      <c r="D495" t="s">
        <v>243</v>
      </c>
      <c r="E495" t="s">
        <v>33</v>
      </c>
      <c r="F495" t="s">
        <v>19</v>
      </c>
      <c r="G495">
        <v>21000</v>
      </c>
      <c r="H495">
        <v>1</v>
      </c>
      <c r="I495" t="s">
        <v>20</v>
      </c>
      <c r="J495" t="s">
        <v>21</v>
      </c>
    </row>
    <row r="496" spans="3:10" x14ac:dyDescent="0.25">
      <c r="C496">
        <v>1491</v>
      </c>
      <c r="D496" t="s">
        <v>159</v>
      </c>
      <c r="E496" t="s">
        <v>9</v>
      </c>
      <c r="F496" t="s">
        <v>36</v>
      </c>
      <c r="G496">
        <v>15000</v>
      </c>
      <c r="H496">
        <v>2</v>
      </c>
      <c r="I496" t="s">
        <v>38</v>
      </c>
      <c r="J496" t="s">
        <v>16</v>
      </c>
    </row>
    <row r="497" spans="3:10" x14ac:dyDescent="0.25">
      <c r="C497">
        <v>1492</v>
      </c>
      <c r="D497" t="s">
        <v>41</v>
      </c>
      <c r="E497" t="s">
        <v>49</v>
      </c>
      <c r="F497" t="s">
        <v>14</v>
      </c>
      <c r="G497">
        <v>15000</v>
      </c>
      <c r="H497">
        <v>1</v>
      </c>
      <c r="I497" t="s">
        <v>15</v>
      </c>
      <c r="J497" t="s">
        <v>29</v>
      </c>
    </row>
    <row r="498" spans="3:10" x14ac:dyDescent="0.25">
      <c r="C498">
        <v>1493</v>
      </c>
      <c r="D498" t="s">
        <v>42</v>
      </c>
      <c r="E498" t="s">
        <v>18</v>
      </c>
      <c r="F498" t="s">
        <v>14</v>
      </c>
      <c r="I498" t="s">
        <v>11</v>
      </c>
      <c r="J498" t="s">
        <v>21</v>
      </c>
    </row>
    <row r="499" spans="3:10" x14ac:dyDescent="0.25">
      <c r="C499">
        <v>1494</v>
      </c>
      <c r="D499" t="s">
        <v>162</v>
      </c>
      <c r="E499" t="s">
        <v>23</v>
      </c>
      <c r="F499" t="s">
        <v>27</v>
      </c>
      <c r="G499">
        <v>55000</v>
      </c>
      <c r="H499">
        <v>2</v>
      </c>
      <c r="I499" t="s">
        <v>28</v>
      </c>
      <c r="J499" t="s">
        <v>31</v>
      </c>
    </row>
    <row r="500" spans="3:10" x14ac:dyDescent="0.25">
      <c r="C500">
        <v>1495</v>
      </c>
      <c r="D500" t="s">
        <v>44</v>
      </c>
      <c r="E500" t="s">
        <v>49</v>
      </c>
      <c r="F500" t="s">
        <v>19</v>
      </c>
      <c r="I500" t="s">
        <v>34</v>
      </c>
      <c r="J500" t="s">
        <v>21</v>
      </c>
    </row>
    <row r="501" spans="3:10" x14ac:dyDescent="0.25">
      <c r="C501">
        <v>1496</v>
      </c>
      <c r="D501" t="s">
        <v>311</v>
      </c>
      <c r="E501" t="s">
        <v>33</v>
      </c>
      <c r="F501" t="s">
        <v>36</v>
      </c>
      <c r="H501">
        <v>3</v>
      </c>
      <c r="I501" t="s">
        <v>46</v>
      </c>
      <c r="J501" t="s">
        <v>31</v>
      </c>
    </row>
    <row r="502" spans="3:10" x14ac:dyDescent="0.25">
      <c r="C502">
        <v>1497</v>
      </c>
      <c r="D502" t="s">
        <v>48</v>
      </c>
      <c r="E502" t="s">
        <v>33</v>
      </c>
      <c r="F502" t="s">
        <v>10</v>
      </c>
      <c r="G502">
        <v>48000</v>
      </c>
      <c r="H502">
        <v>1</v>
      </c>
      <c r="I502" t="s">
        <v>11</v>
      </c>
      <c r="J502" t="s">
        <v>21</v>
      </c>
    </row>
    <row r="503" spans="3:10" x14ac:dyDescent="0.25">
      <c r="C503">
        <v>1498</v>
      </c>
      <c r="D503" t="s">
        <v>312</v>
      </c>
      <c r="E503" t="s">
        <v>26</v>
      </c>
      <c r="F503" t="s">
        <v>19</v>
      </c>
      <c r="G503">
        <v>21000</v>
      </c>
      <c r="H503">
        <v>3</v>
      </c>
      <c r="I503" t="s">
        <v>24</v>
      </c>
      <c r="J503" t="s">
        <v>21</v>
      </c>
    </row>
    <row r="504" spans="3:10" x14ac:dyDescent="0.25">
      <c r="C504">
        <v>1499</v>
      </c>
      <c r="D504" t="s">
        <v>313</v>
      </c>
      <c r="E504" t="s">
        <v>9</v>
      </c>
      <c r="F504" t="s">
        <v>10</v>
      </c>
      <c r="G504">
        <v>52000</v>
      </c>
      <c r="I504" t="s">
        <v>11</v>
      </c>
      <c r="J504" t="s">
        <v>29</v>
      </c>
    </row>
    <row r="505" spans="3:10" x14ac:dyDescent="0.25">
      <c r="C505">
        <v>1500</v>
      </c>
      <c r="D505" t="s">
        <v>167</v>
      </c>
      <c r="E505" t="s">
        <v>33</v>
      </c>
      <c r="F505" t="s">
        <v>14</v>
      </c>
      <c r="H505">
        <v>1</v>
      </c>
      <c r="I505" t="s">
        <v>11</v>
      </c>
      <c r="J505" t="s">
        <v>29</v>
      </c>
    </row>
  </sheetData>
  <mergeCells count="1">
    <mergeCell ref="D2:H3"/>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BC79-A90D-4E20-A638-627A5939DBED}">
  <dimension ref="B1:J507"/>
  <sheetViews>
    <sheetView zoomScale="70" zoomScaleNormal="70" workbookViewId="0">
      <selection activeCell="N31" sqref="N31"/>
    </sheetView>
  </sheetViews>
  <sheetFormatPr defaultRowHeight="15" x14ac:dyDescent="0.25"/>
  <cols>
    <col min="2" max="2" width="11.42578125" style="1" customWidth="1"/>
    <col min="3" max="3" width="14.140625" style="2" customWidth="1"/>
    <col min="4" max="4" width="14" style="1" customWidth="1"/>
    <col min="5" max="5" width="11.28515625" style="1" customWidth="1"/>
    <col min="6" max="6" width="10" style="1" customWidth="1"/>
    <col min="7" max="7" width="12.140625" style="1" customWidth="1"/>
    <col min="8" max="8" width="18.7109375" style="1" customWidth="1"/>
    <col min="9" max="9" width="10.5703125" style="1" customWidth="1"/>
    <col min="10" max="10" width="17.42578125" bestFit="1" customWidth="1"/>
  </cols>
  <sheetData>
    <row r="1" spans="2:10" ht="15.75" thickBot="1" x14ac:dyDescent="0.3"/>
    <row r="2" spans="2:10" ht="15" customHeight="1" x14ac:dyDescent="0.25">
      <c r="D2" s="123" t="s">
        <v>343</v>
      </c>
      <c r="E2" s="124"/>
      <c r="F2" s="124"/>
      <c r="G2" s="124"/>
      <c r="H2" s="124"/>
      <c r="I2" s="125"/>
    </row>
    <row r="3" spans="2:10" ht="15" customHeight="1" thickBot="1" x14ac:dyDescent="0.3">
      <c r="D3" s="126"/>
      <c r="E3" s="127"/>
      <c r="F3" s="127"/>
      <c r="G3" s="127"/>
      <c r="H3" s="127"/>
      <c r="I3" s="128"/>
    </row>
    <row r="5" spans="2:10" ht="15.75" thickBot="1" x14ac:dyDescent="0.3">
      <c r="B5" s="19" t="s">
        <v>0</v>
      </c>
      <c r="C5" s="20" t="s">
        <v>317</v>
      </c>
      <c r="D5" s="21" t="s">
        <v>2</v>
      </c>
      <c r="E5" s="21" t="s">
        <v>3</v>
      </c>
      <c r="F5" s="21" t="s">
        <v>4</v>
      </c>
      <c r="G5" s="21" t="s">
        <v>5</v>
      </c>
      <c r="H5" s="21" t="s">
        <v>316</v>
      </c>
      <c r="I5" s="22" t="s">
        <v>7</v>
      </c>
      <c r="J5" s="24" t="s">
        <v>319</v>
      </c>
    </row>
    <row r="6" spans="2:10" x14ac:dyDescent="0.25">
      <c r="B6" s="16">
        <v>1001</v>
      </c>
      <c r="C6" s="6">
        <v>45658</v>
      </c>
      <c r="D6" s="5" t="s">
        <v>314</v>
      </c>
      <c r="E6" s="5" t="s">
        <v>10</v>
      </c>
      <c r="F6" s="10">
        <v>21000</v>
      </c>
      <c r="G6" s="13">
        <v>3</v>
      </c>
      <c r="H6" s="5" t="s">
        <v>11</v>
      </c>
      <c r="I6" s="5" t="s">
        <v>21</v>
      </c>
      <c r="J6" s="3" t="str">
        <f>IFERROR(IF(AND(Table1[[#This Row],[Sales]]=0,Table1[[#This Row],[Quantity]]&lt;&gt;0),"Sales Missing",IF(AND(Table1[[#This Row],[Sales]]&lt;&gt;0,Table1[[#This Row],[Quantity]]=0),"Quantity Missing",IF(AND(Table1[[#This Row],[Sales]]=0,Table1[[#This Row],[Quantity]]=0),"Both Missing","Valid Response"))),"No Data")</f>
        <v>Valid Response</v>
      </c>
    </row>
    <row r="7" spans="2:10" x14ac:dyDescent="0.25">
      <c r="B7" s="17">
        <v>1002</v>
      </c>
      <c r="C7" s="4">
        <v>45659</v>
      </c>
      <c r="D7" s="3" t="s">
        <v>314</v>
      </c>
      <c r="E7" s="3" t="s">
        <v>19</v>
      </c>
      <c r="F7" s="11">
        <v>0</v>
      </c>
      <c r="G7" s="14">
        <v>2</v>
      </c>
      <c r="H7" s="3" t="s">
        <v>15</v>
      </c>
      <c r="I7" s="3" t="s">
        <v>53</v>
      </c>
      <c r="J7" s="3" t="str">
        <f>IFERROR(IF(AND(Table1[[#This Row],[Sales]]=0,Table1[[#This Row],[Quantity]]&lt;&gt;0),"Sales Missing",IF(AND(Table1[[#This Row],[Sales]]&lt;&gt;0,Table1[[#This Row],[Quantity]]=0),"Quantity Missing",IF(AND(Table1[[#This Row],[Sales]]=0,Table1[[#This Row],[Quantity]]=0),"Both Missing","Valid Response"))),"No Data")</f>
        <v>Sales Missing</v>
      </c>
    </row>
    <row r="8" spans="2:10" x14ac:dyDescent="0.25">
      <c r="B8" s="17">
        <v>1003</v>
      </c>
      <c r="C8" s="4">
        <v>45660</v>
      </c>
      <c r="D8" s="3" t="s">
        <v>315</v>
      </c>
      <c r="E8" s="3" t="s">
        <v>19</v>
      </c>
      <c r="F8" s="11">
        <v>0</v>
      </c>
      <c r="G8" s="14">
        <v>1</v>
      </c>
      <c r="H8" s="3" t="s">
        <v>20</v>
      </c>
      <c r="I8" s="3" t="s">
        <v>21</v>
      </c>
      <c r="J8" s="3" t="str">
        <f>IFERROR(IF(AND(Table1[[#This Row],[Sales]]=0,Table1[[#This Row],[Quantity]]&lt;&gt;0),"Sales Missing",IF(AND(Table1[[#This Row],[Sales]]&lt;&gt;0,Table1[[#This Row],[Quantity]]=0),"Quantity Missing",IF(AND(Table1[[#This Row],[Sales]]=0,Table1[[#This Row],[Quantity]]=0),"Both Missing","Valid Response"))),"No Data")</f>
        <v>Sales Missing</v>
      </c>
    </row>
    <row r="9" spans="2:10" x14ac:dyDescent="0.25">
      <c r="B9" s="17">
        <v>1004</v>
      </c>
      <c r="C9" s="4">
        <v>45661</v>
      </c>
      <c r="D9" s="3" t="s">
        <v>23</v>
      </c>
      <c r="E9" s="3" t="s">
        <v>10</v>
      </c>
      <c r="F9" s="11">
        <v>20000</v>
      </c>
      <c r="G9" s="14">
        <v>0</v>
      </c>
      <c r="H9" s="3" t="s">
        <v>24</v>
      </c>
      <c r="I9" s="3" t="s">
        <v>21</v>
      </c>
      <c r="J9" s="3" t="str">
        <f>IFERROR(IF(AND(Table1[[#This Row],[Sales]]=0,Table1[[#This Row],[Quantity]]&lt;&gt;0),"Sales Missing",IF(AND(Table1[[#This Row],[Sales]]&lt;&gt;0,Table1[[#This Row],[Quantity]]=0),"Quantity Missing",IF(AND(Table1[[#This Row],[Sales]]=0,Table1[[#This Row],[Quantity]]=0),"Both Missing","Valid Response"))),"No Data")</f>
        <v>Quantity Missing</v>
      </c>
    </row>
    <row r="10" spans="2:10" x14ac:dyDescent="0.25">
      <c r="B10" s="17">
        <v>1005</v>
      </c>
      <c r="C10" s="4">
        <v>45662</v>
      </c>
      <c r="D10" s="3" t="s">
        <v>33</v>
      </c>
      <c r="E10" s="3" t="s">
        <v>27</v>
      </c>
      <c r="F10" s="11">
        <v>53000</v>
      </c>
      <c r="G10" s="14">
        <v>3</v>
      </c>
      <c r="H10" s="3" t="s">
        <v>28</v>
      </c>
      <c r="I10" s="3" t="s">
        <v>29</v>
      </c>
      <c r="J10" s="3" t="str">
        <f>IFERROR(IF(AND(Table1[[#This Row],[Sales]]=0,Table1[[#This Row],[Quantity]]&lt;&gt;0),"Sales Missing",IF(AND(Table1[[#This Row],[Sales]]&lt;&gt;0,Table1[[#This Row],[Quantity]]=0),"Quantity Missing",IF(AND(Table1[[#This Row],[Sales]]=0,Table1[[#This Row],[Quantity]]=0),"Both Missing","Valid Response"))),"No Data")</f>
        <v>Valid Response</v>
      </c>
    </row>
    <row r="11" spans="2:10" x14ac:dyDescent="0.25">
      <c r="B11" s="17">
        <v>1006</v>
      </c>
      <c r="C11" s="4">
        <v>45663</v>
      </c>
      <c r="D11" s="3" t="s">
        <v>33</v>
      </c>
      <c r="E11" s="3" t="s">
        <v>27</v>
      </c>
      <c r="F11" s="11">
        <v>0</v>
      </c>
      <c r="G11" s="14">
        <v>1</v>
      </c>
      <c r="H11" s="3" t="s">
        <v>24</v>
      </c>
      <c r="I11" s="3" t="s">
        <v>31</v>
      </c>
      <c r="J11" s="3" t="str">
        <f>IFERROR(IF(AND(Table1[[#This Row],[Sales]]=0,Table1[[#This Row],[Quantity]]&lt;&gt;0),"Sales Missing",IF(AND(Table1[[#This Row],[Sales]]&lt;&gt;0,Table1[[#This Row],[Quantity]]=0),"Quantity Missing",IF(AND(Table1[[#This Row],[Sales]]=0,Table1[[#This Row],[Quantity]]=0),"Both Missing","Valid Response"))),"No Data")</f>
        <v>Sales Missing</v>
      </c>
    </row>
    <row r="12" spans="2:10" x14ac:dyDescent="0.25">
      <c r="B12" s="17">
        <v>1007</v>
      </c>
      <c r="C12" s="4">
        <v>45664</v>
      </c>
      <c r="D12" s="3" t="s">
        <v>33</v>
      </c>
      <c r="E12" s="3" t="s">
        <v>19</v>
      </c>
      <c r="F12" s="11">
        <v>15000</v>
      </c>
      <c r="G12" s="14">
        <v>2</v>
      </c>
      <c r="H12" s="3" t="s">
        <v>34</v>
      </c>
      <c r="I12" s="3" t="s">
        <v>21</v>
      </c>
      <c r="J12" s="3" t="str">
        <f>IFERROR(IF(AND(Table1[[#This Row],[Sales]]=0,Table1[[#This Row],[Quantity]]&lt;&gt;0),"Sales Missing",IF(AND(Table1[[#This Row],[Sales]]&lt;&gt;0,Table1[[#This Row],[Quantity]]=0),"Quantity Missing",IF(AND(Table1[[#This Row],[Sales]]=0,Table1[[#This Row],[Quantity]]=0),"Both Missing","Valid Response"))),"No Data")</f>
        <v>Valid Response</v>
      </c>
    </row>
    <row r="13" spans="2:10" x14ac:dyDescent="0.25">
      <c r="B13" s="17">
        <v>1008</v>
      </c>
      <c r="C13" s="4">
        <v>45665</v>
      </c>
      <c r="D13" s="3" t="s">
        <v>315</v>
      </c>
      <c r="E13" s="3" t="s">
        <v>27</v>
      </c>
      <c r="F13" s="11">
        <v>0</v>
      </c>
      <c r="G13" s="14">
        <v>2</v>
      </c>
      <c r="H13" s="3" t="s">
        <v>20</v>
      </c>
      <c r="I13" s="3" t="s">
        <v>21</v>
      </c>
      <c r="J13" s="3" t="str">
        <f>IFERROR(IF(AND(Table1[[#This Row],[Sales]]=0,Table1[[#This Row],[Quantity]]&lt;&gt;0),"Sales Missing",IF(AND(Table1[[#This Row],[Sales]]&lt;&gt;0,Table1[[#This Row],[Quantity]]=0),"Quantity Missing",IF(AND(Table1[[#This Row],[Sales]]=0,Table1[[#This Row],[Quantity]]=0),"Both Missing","Valid Response"))),"No Data")</f>
        <v>Sales Missing</v>
      </c>
    </row>
    <row r="14" spans="2:10" x14ac:dyDescent="0.25">
      <c r="B14" s="17">
        <v>1009</v>
      </c>
      <c r="C14" s="4">
        <v>45666</v>
      </c>
      <c r="D14" s="3" t="s">
        <v>23</v>
      </c>
      <c r="E14" s="3" t="s">
        <v>19</v>
      </c>
      <c r="F14" s="11">
        <v>53000</v>
      </c>
      <c r="G14" s="14">
        <v>1</v>
      </c>
      <c r="H14" s="3" t="s">
        <v>38</v>
      </c>
      <c r="I14" s="3" t="s">
        <v>21</v>
      </c>
      <c r="J14" s="3" t="str">
        <f>IFERROR(IF(AND(Table1[[#This Row],[Sales]]=0,Table1[[#This Row],[Quantity]]&lt;&gt;0),"Sales Missing",IF(AND(Table1[[#This Row],[Sales]]&lt;&gt;0,Table1[[#This Row],[Quantity]]=0),"Quantity Missing",IF(AND(Table1[[#This Row],[Sales]]=0,Table1[[#This Row],[Quantity]]=0),"Both Missing","Valid Response"))),"No Data")</f>
        <v>Valid Response</v>
      </c>
    </row>
    <row r="15" spans="2:10" x14ac:dyDescent="0.25">
      <c r="B15" s="17">
        <v>1010</v>
      </c>
      <c r="C15" s="4">
        <v>45667</v>
      </c>
      <c r="D15" s="3" t="s">
        <v>314</v>
      </c>
      <c r="E15" s="3" t="s">
        <v>10</v>
      </c>
      <c r="F15" s="11">
        <v>52000</v>
      </c>
      <c r="G15" s="14">
        <v>2</v>
      </c>
      <c r="H15" s="3" t="s">
        <v>28</v>
      </c>
      <c r="I15" s="3" t="s">
        <v>53</v>
      </c>
      <c r="J15" s="3" t="str">
        <f>IFERROR(IF(AND(Table1[[#This Row],[Sales]]=0,Table1[[#This Row],[Quantity]]&lt;&gt;0),"Sales Missing",IF(AND(Table1[[#This Row],[Sales]]&lt;&gt;0,Table1[[#This Row],[Quantity]]=0),"Quantity Missing",IF(AND(Table1[[#This Row],[Sales]]=0,Table1[[#This Row],[Quantity]]=0),"Both Missing","Valid Response"))),"No Data")</f>
        <v>Valid Response</v>
      </c>
    </row>
    <row r="16" spans="2:10" x14ac:dyDescent="0.25">
      <c r="B16" s="17">
        <v>1011</v>
      </c>
      <c r="C16" s="4">
        <v>45668</v>
      </c>
      <c r="D16" s="3" t="s">
        <v>33</v>
      </c>
      <c r="E16" s="3" t="s">
        <v>10</v>
      </c>
      <c r="F16" s="11">
        <v>52000</v>
      </c>
      <c r="G16" s="14">
        <v>0</v>
      </c>
      <c r="H16" s="3" t="s">
        <v>20</v>
      </c>
      <c r="I16" s="3" t="s">
        <v>21</v>
      </c>
      <c r="J16" s="3" t="str">
        <f>IFERROR(IF(AND(Table1[[#This Row],[Sales]]=0,Table1[[#This Row],[Quantity]]&lt;&gt;0),"Sales Missing",IF(AND(Table1[[#This Row],[Sales]]&lt;&gt;0,Table1[[#This Row],[Quantity]]=0),"Quantity Missing",IF(AND(Table1[[#This Row],[Sales]]=0,Table1[[#This Row],[Quantity]]=0),"Both Missing","Valid Response"))),"No Data")</f>
        <v>Quantity Missing</v>
      </c>
    </row>
    <row r="17" spans="2:10" x14ac:dyDescent="0.25">
      <c r="B17" s="17">
        <v>1012</v>
      </c>
      <c r="C17" s="4">
        <v>45669</v>
      </c>
      <c r="D17" s="3" t="s">
        <v>23</v>
      </c>
      <c r="E17" s="3" t="s">
        <v>27</v>
      </c>
      <c r="F17" s="11">
        <v>21000</v>
      </c>
      <c r="G17" s="14">
        <v>2</v>
      </c>
      <c r="H17" s="3" t="s">
        <v>15</v>
      </c>
      <c r="I17" s="3" t="s">
        <v>21</v>
      </c>
      <c r="J17" s="3" t="str">
        <f>IFERROR(IF(AND(Table1[[#This Row],[Sales]]=0,Table1[[#This Row],[Quantity]]&lt;&gt;0),"Sales Missing",IF(AND(Table1[[#This Row],[Sales]]&lt;&gt;0,Table1[[#This Row],[Quantity]]=0),"Quantity Missing",IF(AND(Table1[[#This Row],[Sales]]=0,Table1[[#This Row],[Quantity]]=0),"Both Missing","Valid Response"))),"No Data")</f>
        <v>Valid Response</v>
      </c>
    </row>
    <row r="18" spans="2:10" x14ac:dyDescent="0.25">
      <c r="B18" s="17">
        <v>1013</v>
      </c>
      <c r="C18" s="4">
        <v>45670</v>
      </c>
      <c r="D18" s="3" t="s">
        <v>315</v>
      </c>
      <c r="E18" s="3" t="s">
        <v>10</v>
      </c>
      <c r="F18" s="11">
        <v>21000</v>
      </c>
      <c r="G18" s="14">
        <v>1</v>
      </c>
      <c r="H18" s="3" t="s">
        <v>15</v>
      </c>
      <c r="I18" s="3" t="s">
        <v>29</v>
      </c>
      <c r="J18" s="3" t="str">
        <f>IFERROR(IF(AND(Table1[[#This Row],[Sales]]=0,Table1[[#This Row],[Quantity]]&lt;&gt;0),"Sales Missing",IF(AND(Table1[[#This Row],[Sales]]&lt;&gt;0,Table1[[#This Row],[Quantity]]=0),"Quantity Missing",IF(AND(Table1[[#This Row],[Sales]]=0,Table1[[#This Row],[Quantity]]=0),"Both Missing","Valid Response"))),"No Data")</f>
        <v>Valid Response</v>
      </c>
    </row>
    <row r="19" spans="2:10" x14ac:dyDescent="0.25">
      <c r="B19" s="17">
        <v>1014</v>
      </c>
      <c r="C19" s="4">
        <v>45671</v>
      </c>
      <c r="D19" s="3" t="s">
        <v>314</v>
      </c>
      <c r="E19" s="3" t="s">
        <v>19</v>
      </c>
      <c r="F19" s="11">
        <v>53000</v>
      </c>
      <c r="G19" s="14">
        <v>1</v>
      </c>
      <c r="H19" s="3" t="s">
        <v>11</v>
      </c>
      <c r="I19" s="3" t="s">
        <v>21</v>
      </c>
      <c r="J19" s="3" t="str">
        <f>IFERROR(IF(AND(Table1[[#This Row],[Sales]]=0,Table1[[#This Row],[Quantity]]&lt;&gt;0),"Sales Missing",IF(AND(Table1[[#This Row],[Sales]]&lt;&gt;0,Table1[[#This Row],[Quantity]]=0),"Quantity Missing",IF(AND(Table1[[#This Row],[Sales]]=0,Table1[[#This Row],[Quantity]]=0),"Both Missing","Valid Response"))),"No Data")</f>
        <v>Valid Response</v>
      </c>
    </row>
    <row r="20" spans="2:10" x14ac:dyDescent="0.25">
      <c r="B20" s="17">
        <v>1015</v>
      </c>
      <c r="C20" s="4">
        <v>45672</v>
      </c>
      <c r="D20" s="3" t="s">
        <v>45</v>
      </c>
      <c r="E20" s="3" t="s">
        <v>27</v>
      </c>
      <c r="F20" s="11">
        <v>48000</v>
      </c>
      <c r="G20" s="14">
        <v>3</v>
      </c>
      <c r="H20" s="3" t="s">
        <v>46</v>
      </c>
      <c r="I20" s="3" t="s">
        <v>21</v>
      </c>
      <c r="J20" s="3" t="str">
        <f>IFERROR(IF(AND(Table1[[#This Row],[Sales]]=0,Table1[[#This Row],[Quantity]]&lt;&gt;0),"Sales Missing",IF(AND(Table1[[#This Row],[Sales]]&lt;&gt;0,Table1[[#This Row],[Quantity]]=0),"Quantity Missing",IF(AND(Table1[[#This Row],[Sales]]=0,Table1[[#This Row],[Quantity]]=0),"Both Missing","Valid Response"))),"No Data")</f>
        <v>Valid Response</v>
      </c>
    </row>
    <row r="21" spans="2:10" x14ac:dyDescent="0.25">
      <c r="B21" s="17">
        <v>1016</v>
      </c>
      <c r="C21" s="4">
        <v>45673</v>
      </c>
      <c r="D21" s="3" t="s">
        <v>314</v>
      </c>
      <c r="E21" s="3" t="s">
        <v>27</v>
      </c>
      <c r="F21" s="11">
        <v>15000</v>
      </c>
      <c r="G21" s="14">
        <v>3</v>
      </c>
      <c r="H21" s="3" t="s">
        <v>46</v>
      </c>
      <c r="I21" s="3" t="s">
        <v>29</v>
      </c>
      <c r="J21" s="3" t="str">
        <f>IFERROR(IF(AND(Table1[[#This Row],[Sales]]=0,Table1[[#This Row],[Quantity]]&lt;&gt;0),"Sales Missing",IF(AND(Table1[[#This Row],[Sales]]&lt;&gt;0,Table1[[#This Row],[Quantity]]=0),"Quantity Missing",IF(AND(Table1[[#This Row],[Sales]]=0,Table1[[#This Row],[Quantity]]=0),"Both Missing","Valid Response"))),"No Data")</f>
        <v>Valid Response</v>
      </c>
    </row>
    <row r="22" spans="2:10" x14ac:dyDescent="0.25">
      <c r="B22" s="17">
        <v>1017</v>
      </c>
      <c r="C22" s="4">
        <v>45674</v>
      </c>
      <c r="D22" s="3" t="s">
        <v>23</v>
      </c>
      <c r="E22" s="3" t="s">
        <v>27</v>
      </c>
      <c r="F22" s="11">
        <v>48000</v>
      </c>
      <c r="G22" s="14">
        <v>2</v>
      </c>
      <c r="H22" s="3" t="s">
        <v>11</v>
      </c>
      <c r="I22" s="3" t="s">
        <v>21</v>
      </c>
      <c r="J22" s="3" t="str">
        <f>IFERROR(IF(AND(Table1[[#This Row],[Sales]]=0,Table1[[#This Row],[Quantity]]&lt;&gt;0),"Sales Missing",IF(AND(Table1[[#This Row],[Sales]]&lt;&gt;0,Table1[[#This Row],[Quantity]]=0),"Quantity Missing",IF(AND(Table1[[#This Row],[Sales]]=0,Table1[[#This Row],[Quantity]]=0),"Both Missing","Valid Response"))),"No Data")</f>
        <v>Valid Response</v>
      </c>
    </row>
    <row r="23" spans="2:10" x14ac:dyDescent="0.25">
      <c r="B23" s="17">
        <v>1018</v>
      </c>
      <c r="C23" s="4">
        <v>45675</v>
      </c>
      <c r="D23" s="3" t="s">
        <v>23</v>
      </c>
      <c r="E23" s="3" t="s">
        <v>19</v>
      </c>
      <c r="F23" s="11">
        <v>48000</v>
      </c>
      <c r="G23" s="14">
        <v>1</v>
      </c>
      <c r="H23" s="3" t="s">
        <v>34</v>
      </c>
      <c r="I23" s="3" t="s">
        <v>21</v>
      </c>
      <c r="J23" s="3" t="str">
        <f>IFERROR(IF(AND(Table1[[#This Row],[Sales]]=0,Table1[[#This Row],[Quantity]]&lt;&gt;0),"Sales Missing",IF(AND(Table1[[#This Row],[Sales]]&lt;&gt;0,Table1[[#This Row],[Quantity]]=0),"Quantity Missing",IF(AND(Table1[[#This Row],[Sales]]=0,Table1[[#This Row],[Quantity]]=0),"Both Missing","Valid Response"))),"No Data")</f>
        <v>Valid Response</v>
      </c>
    </row>
    <row r="24" spans="2:10" x14ac:dyDescent="0.25">
      <c r="B24" s="17">
        <v>1019</v>
      </c>
      <c r="C24" s="4">
        <v>45676</v>
      </c>
      <c r="D24" s="3" t="s">
        <v>33</v>
      </c>
      <c r="E24" s="3" t="s">
        <v>19</v>
      </c>
      <c r="F24" s="11">
        <v>20000</v>
      </c>
      <c r="G24" s="14">
        <v>2</v>
      </c>
      <c r="H24" s="3" t="s">
        <v>28</v>
      </c>
      <c r="I24" s="3" t="s">
        <v>53</v>
      </c>
      <c r="J24" s="3" t="str">
        <f>IFERROR(IF(AND(Table1[[#This Row],[Sales]]=0,Table1[[#This Row],[Quantity]]&lt;&gt;0),"Sales Missing",IF(AND(Table1[[#This Row],[Sales]]&lt;&gt;0,Table1[[#This Row],[Quantity]]=0),"Quantity Missing",IF(AND(Table1[[#This Row],[Sales]]=0,Table1[[#This Row],[Quantity]]=0),"Both Missing","Valid Response"))),"No Data")</f>
        <v>Valid Response</v>
      </c>
    </row>
    <row r="25" spans="2:10" x14ac:dyDescent="0.25">
      <c r="B25" s="17">
        <v>1020</v>
      </c>
      <c r="C25" s="4">
        <v>45677</v>
      </c>
      <c r="D25" s="3" t="s">
        <v>33</v>
      </c>
      <c r="E25" s="3" t="s">
        <v>27</v>
      </c>
      <c r="F25" s="11">
        <v>53000</v>
      </c>
      <c r="G25" s="14">
        <v>0</v>
      </c>
      <c r="H25" s="3" t="s">
        <v>11</v>
      </c>
      <c r="I25" s="3" t="s">
        <v>53</v>
      </c>
      <c r="J25" s="3" t="str">
        <f>IFERROR(IF(AND(Table1[[#This Row],[Sales]]=0,Table1[[#This Row],[Quantity]]&lt;&gt;0),"Sales Missing",IF(AND(Table1[[#This Row],[Sales]]&lt;&gt;0,Table1[[#This Row],[Quantity]]=0),"Quantity Missing",IF(AND(Table1[[#This Row],[Sales]]=0,Table1[[#This Row],[Quantity]]=0),"Both Missing","Valid Response"))),"No Data")</f>
        <v>Quantity Missing</v>
      </c>
    </row>
    <row r="26" spans="2:10" x14ac:dyDescent="0.25">
      <c r="B26" s="17">
        <v>1021</v>
      </c>
      <c r="C26" s="4">
        <v>45678</v>
      </c>
      <c r="D26" s="3" t="s">
        <v>45</v>
      </c>
      <c r="E26" s="3" t="s">
        <v>19</v>
      </c>
      <c r="F26" s="11">
        <v>53000</v>
      </c>
      <c r="G26" s="14">
        <v>1</v>
      </c>
      <c r="H26" s="3" t="s">
        <v>34</v>
      </c>
      <c r="I26" s="3" t="s">
        <v>31</v>
      </c>
      <c r="J26" s="3" t="str">
        <f>IFERROR(IF(AND(Table1[[#This Row],[Sales]]=0,Table1[[#This Row],[Quantity]]&lt;&gt;0),"Sales Missing",IF(AND(Table1[[#This Row],[Sales]]&lt;&gt;0,Table1[[#This Row],[Quantity]]=0),"Quantity Missing",IF(AND(Table1[[#This Row],[Sales]]=0,Table1[[#This Row],[Quantity]]=0),"Both Missing","Valid Response"))),"No Data")</f>
        <v>Valid Response</v>
      </c>
    </row>
    <row r="27" spans="2:10" x14ac:dyDescent="0.25">
      <c r="B27" s="17">
        <v>1022</v>
      </c>
      <c r="C27" s="4">
        <v>45679</v>
      </c>
      <c r="D27" s="3" t="s">
        <v>314</v>
      </c>
      <c r="E27" s="3" t="s">
        <v>19</v>
      </c>
      <c r="F27" s="11">
        <v>21000</v>
      </c>
      <c r="G27" s="14">
        <v>0</v>
      </c>
      <c r="H27" s="3" t="s">
        <v>38</v>
      </c>
      <c r="I27" s="3" t="s">
        <v>21</v>
      </c>
      <c r="J27" s="3" t="str">
        <f>IFERROR(IF(AND(Table1[[#This Row],[Sales]]=0,Table1[[#This Row],[Quantity]]&lt;&gt;0),"Sales Missing",IF(AND(Table1[[#This Row],[Sales]]&lt;&gt;0,Table1[[#This Row],[Quantity]]=0),"Quantity Missing",IF(AND(Table1[[#This Row],[Sales]]=0,Table1[[#This Row],[Quantity]]=0),"Both Missing","Valid Response"))),"No Data")</f>
        <v>Quantity Missing</v>
      </c>
    </row>
    <row r="28" spans="2:10" x14ac:dyDescent="0.25">
      <c r="B28" s="17">
        <v>1023</v>
      </c>
      <c r="C28" s="4">
        <v>45680</v>
      </c>
      <c r="D28" s="3" t="s">
        <v>23</v>
      </c>
      <c r="E28" s="3" t="s">
        <v>19</v>
      </c>
      <c r="F28" s="11">
        <v>55000</v>
      </c>
      <c r="G28" s="14">
        <v>2</v>
      </c>
      <c r="H28" s="3" t="s">
        <v>15</v>
      </c>
      <c r="I28" s="3" t="s">
        <v>21</v>
      </c>
      <c r="J28" s="3" t="str">
        <f>IFERROR(IF(AND(Table1[[#This Row],[Sales]]=0,Table1[[#This Row],[Quantity]]&lt;&gt;0),"Sales Missing",IF(AND(Table1[[#This Row],[Sales]]&lt;&gt;0,Table1[[#This Row],[Quantity]]=0),"Quantity Missing",IF(AND(Table1[[#This Row],[Sales]]=0,Table1[[#This Row],[Quantity]]=0),"Both Missing","Valid Response"))),"No Data")</f>
        <v>Valid Response</v>
      </c>
    </row>
    <row r="29" spans="2:10" x14ac:dyDescent="0.25">
      <c r="B29" s="17">
        <v>1024</v>
      </c>
      <c r="C29" s="4">
        <v>45681</v>
      </c>
      <c r="D29" s="3" t="s">
        <v>23</v>
      </c>
      <c r="E29" s="3" t="s">
        <v>27</v>
      </c>
      <c r="F29" s="11">
        <v>15000</v>
      </c>
      <c r="G29" s="14">
        <v>3</v>
      </c>
      <c r="H29" s="3" t="s">
        <v>28</v>
      </c>
      <c r="I29" s="3" t="s">
        <v>21</v>
      </c>
      <c r="J29" s="3" t="str">
        <f>IFERROR(IF(AND(Table1[[#This Row],[Sales]]=0,Table1[[#This Row],[Quantity]]&lt;&gt;0),"Sales Missing",IF(AND(Table1[[#This Row],[Sales]]&lt;&gt;0,Table1[[#This Row],[Quantity]]=0),"Quantity Missing",IF(AND(Table1[[#This Row],[Sales]]=0,Table1[[#This Row],[Quantity]]=0),"Both Missing","Valid Response"))),"No Data")</f>
        <v>Valid Response</v>
      </c>
    </row>
    <row r="30" spans="2:10" x14ac:dyDescent="0.25">
      <c r="B30" s="17">
        <v>1025</v>
      </c>
      <c r="C30" s="4">
        <v>45682</v>
      </c>
      <c r="D30" s="3" t="s">
        <v>45</v>
      </c>
      <c r="E30" s="3" t="s">
        <v>27</v>
      </c>
      <c r="F30" s="11">
        <v>52000</v>
      </c>
      <c r="G30" s="14">
        <v>2</v>
      </c>
      <c r="H30" s="3" t="s">
        <v>28</v>
      </c>
      <c r="I30" s="3" t="s">
        <v>21</v>
      </c>
      <c r="J30" s="3" t="str">
        <f>IFERROR(IF(AND(Table1[[#This Row],[Sales]]=0,Table1[[#This Row],[Quantity]]&lt;&gt;0),"Sales Missing",IF(AND(Table1[[#This Row],[Sales]]&lt;&gt;0,Table1[[#This Row],[Quantity]]=0),"Quantity Missing",IF(AND(Table1[[#This Row],[Sales]]=0,Table1[[#This Row],[Quantity]]=0),"Both Missing","Valid Response"))),"No Data")</f>
        <v>Valid Response</v>
      </c>
    </row>
    <row r="31" spans="2:10" x14ac:dyDescent="0.25">
      <c r="B31" s="17">
        <v>1026</v>
      </c>
      <c r="C31" s="4">
        <v>45683</v>
      </c>
      <c r="D31" s="3" t="s">
        <v>33</v>
      </c>
      <c r="E31" s="3" t="s">
        <v>10</v>
      </c>
      <c r="F31" s="11">
        <v>15000</v>
      </c>
      <c r="G31" s="14">
        <v>1</v>
      </c>
      <c r="H31" s="3" t="s">
        <v>24</v>
      </c>
      <c r="I31" s="3" t="s">
        <v>53</v>
      </c>
      <c r="J31" s="3" t="str">
        <f>IFERROR(IF(AND(Table1[[#This Row],[Sales]]=0,Table1[[#This Row],[Quantity]]&lt;&gt;0),"Sales Missing",IF(AND(Table1[[#This Row],[Sales]]&lt;&gt;0,Table1[[#This Row],[Quantity]]=0),"Quantity Missing",IF(AND(Table1[[#This Row],[Sales]]=0,Table1[[#This Row],[Quantity]]=0),"Both Missing","Valid Response"))),"No Data")</f>
        <v>Valid Response</v>
      </c>
    </row>
    <row r="32" spans="2:10" x14ac:dyDescent="0.25">
      <c r="B32" s="17">
        <v>1027</v>
      </c>
      <c r="C32" s="4">
        <v>45684</v>
      </c>
      <c r="D32" s="3" t="s">
        <v>45</v>
      </c>
      <c r="E32" s="3" t="s">
        <v>27</v>
      </c>
      <c r="F32" s="11">
        <v>15000</v>
      </c>
      <c r="G32" s="14">
        <v>0</v>
      </c>
      <c r="H32" s="3" t="s">
        <v>11</v>
      </c>
      <c r="I32" s="3" t="s">
        <v>29</v>
      </c>
      <c r="J32" s="3" t="str">
        <f>IFERROR(IF(AND(Table1[[#This Row],[Sales]]=0,Table1[[#This Row],[Quantity]]&lt;&gt;0),"Sales Missing",IF(AND(Table1[[#This Row],[Sales]]&lt;&gt;0,Table1[[#This Row],[Quantity]]=0),"Quantity Missing",IF(AND(Table1[[#This Row],[Sales]]=0,Table1[[#This Row],[Quantity]]=0),"Both Missing","Valid Response"))),"No Data")</f>
        <v>Quantity Missing</v>
      </c>
    </row>
    <row r="33" spans="2:10" x14ac:dyDescent="0.25">
      <c r="B33" s="17">
        <v>1028</v>
      </c>
      <c r="C33" s="4">
        <v>45685</v>
      </c>
      <c r="D33" s="3" t="s">
        <v>23</v>
      </c>
      <c r="E33" s="3" t="s">
        <v>19</v>
      </c>
      <c r="F33" s="11">
        <v>52000</v>
      </c>
      <c r="G33" s="14">
        <v>3</v>
      </c>
      <c r="H33" s="3" t="s">
        <v>11</v>
      </c>
      <c r="I33" s="3" t="s">
        <v>53</v>
      </c>
      <c r="J33" s="3" t="str">
        <f>IFERROR(IF(AND(Table1[[#This Row],[Sales]]=0,Table1[[#This Row],[Quantity]]&lt;&gt;0),"Sales Missing",IF(AND(Table1[[#This Row],[Sales]]&lt;&gt;0,Table1[[#This Row],[Quantity]]=0),"Quantity Missing",IF(AND(Table1[[#This Row],[Sales]]=0,Table1[[#This Row],[Quantity]]=0),"Both Missing","Valid Response"))),"No Data")</f>
        <v>Valid Response</v>
      </c>
    </row>
    <row r="34" spans="2:10" x14ac:dyDescent="0.25">
      <c r="B34" s="17">
        <v>1029</v>
      </c>
      <c r="C34" s="4">
        <v>45686</v>
      </c>
      <c r="D34" s="3" t="s">
        <v>23</v>
      </c>
      <c r="E34" s="3" t="s">
        <v>27</v>
      </c>
      <c r="F34" s="11">
        <v>52000</v>
      </c>
      <c r="G34" s="14">
        <v>2</v>
      </c>
      <c r="H34" s="3" t="s">
        <v>46</v>
      </c>
      <c r="I34" s="3" t="s">
        <v>21</v>
      </c>
      <c r="J34" s="3" t="str">
        <f>IFERROR(IF(AND(Table1[[#This Row],[Sales]]=0,Table1[[#This Row],[Quantity]]&lt;&gt;0),"Sales Missing",IF(AND(Table1[[#This Row],[Sales]]&lt;&gt;0,Table1[[#This Row],[Quantity]]=0),"Quantity Missing",IF(AND(Table1[[#This Row],[Sales]]=0,Table1[[#This Row],[Quantity]]=0),"Both Missing","Valid Response"))),"No Data")</f>
        <v>Valid Response</v>
      </c>
    </row>
    <row r="35" spans="2:10" x14ac:dyDescent="0.25">
      <c r="B35" s="17">
        <v>1030</v>
      </c>
      <c r="C35" s="4">
        <v>45687</v>
      </c>
      <c r="D35" s="3" t="s">
        <v>45</v>
      </c>
      <c r="E35" s="3" t="s">
        <v>27</v>
      </c>
      <c r="F35" s="11">
        <v>48000</v>
      </c>
      <c r="G35" s="14">
        <v>1</v>
      </c>
      <c r="H35" s="3" t="s">
        <v>34</v>
      </c>
      <c r="I35" s="3" t="s">
        <v>21</v>
      </c>
      <c r="J35" s="3" t="str">
        <f>IFERROR(IF(AND(Table1[[#This Row],[Sales]]=0,Table1[[#This Row],[Quantity]]&lt;&gt;0),"Sales Missing",IF(AND(Table1[[#This Row],[Sales]]&lt;&gt;0,Table1[[#This Row],[Quantity]]=0),"Quantity Missing",IF(AND(Table1[[#This Row],[Sales]]=0,Table1[[#This Row],[Quantity]]=0),"Both Missing","Valid Response"))),"No Data")</f>
        <v>Valid Response</v>
      </c>
    </row>
    <row r="36" spans="2:10" x14ac:dyDescent="0.25">
      <c r="B36" s="17">
        <v>1031</v>
      </c>
      <c r="C36" s="4">
        <v>45688</v>
      </c>
      <c r="D36" s="3" t="s">
        <v>315</v>
      </c>
      <c r="E36" s="3" t="s">
        <v>27</v>
      </c>
      <c r="F36" s="11">
        <v>15000</v>
      </c>
      <c r="G36" s="14">
        <v>1</v>
      </c>
      <c r="H36" s="3" t="s">
        <v>34</v>
      </c>
      <c r="I36" s="3" t="s">
        <v>53</v>
      </c>
      <c r="J36" s="3" t="str">
        <f>IFERROR(IF(AND(Table1[[#This Row],[Sales]]=0,Table1[[#This Row],[Quantity]]&lt;&gt;0),"Sales Missing",IF(AND(Table1[[#This Row],[Sales]]&lt;&gt;0,Table1[[#This Row],[Quantity]]=0),"Quantity Missing",IF(AND(Table1[[#This Row],[Sales]]=0,Table1[[#This Row],[Quantity]]=0),"Both Missing","Valid Response"))),"No Data")</f>
        <v>Valid Response</v>
      </c>
    </row>
    <row r="37" spans="2:10" x14ac:dyDescent="0.25">
      <c r="B37" s="17">
        <v>1032</v>
      </c>
      <c r="C37" s="4">
        <v>45689</v>
      </c>
      <c r="D37" s="3" t="s">
        <v>23</v>
      </c>
      <c r="E37" s="3" t="s">
        <v>19</v>
      </c>
      <c r="F37" s="11">
        <v>52000</v>
      </c>
      <c r="G37" s="14">
        <v>0</v>
      </c>
      <c r="H37" s="3" t="s">
        <v>24</v>
      </c>
      <c r="I37" s="3" t="s">
        <v>29</v>
      </c>
      <c r="J37" s="3" t="str">
        <f>IFERROR(IF(AND(Table1[[#This Row],[Sales]]=0,Table1[[#This Row],[Quantity]]&lt;&gt;0),"Sales Missing",IF(AND(Table1[[#This Row],[Sales]]&lt;&gt;0,Table1[[#This Row],[Quantity]]=0),"Quantity Missing",IF(AND(Table1[[#This Row],[Sales]]=0,Table1[[#This Row],[Quantity]]=0),"Both Missing","Valid Response"))),"No Data")</f>
        <v>Quantity Missing</v>
      </c>
    </row>
    <row r="38" spans="2:10" x14ac:dyDescent="0.25">
      <c r="B38" s="17">
        <v>1033</v>
      </c>
      <c r="C38" s="4">
        <v>45690</v>
      </c>
      <c r="D38" s="3" t="s">
        <v>315</v>
      </c>
      <c r="E38" s="3" t="s">
        <v>27</v>
      </c>
      <c r="F38" s="11">
        <v>20000</v>
      </c>
      <c r="G38" s="14">
        <v>3</v>
      </c>
      <c r="H38" s="3" t="s">
        <v>20</v>
      </c>
      <c r="I38" s="3" t="s">
        <v>21</v>
      </c>
      <c r="J38" s="3" t="str">
        <f>IFERROR(IF(AND(Table1[[#This Row],[Sales]]=0,Table1[[#This Row],[Quantity]]&lt;&gt;0),"Sales Missing",IF(AND(Table1[[#This Row],[Sales]]&lt;&gt;0,Table1[[#This Row],[Quantity]]=0),"Quantity Missing",IF(AND(Table1[[#This Row],[Sales]]=0,Table1[[#This Row],[Quantity]]=0),"Both Missing","Valid Response"))),"No Data")</f>
        <v>Valid Response</v>
      </c>
    </row>
    <row r="39" spans="2:10" x14ac:dyDescent="0.25">
      <c r="B39" s="17">
        <v>1034</v>
      </c>
      <c r="C39" s="4">
        <v>45691</v>
      </c>
      <c r="D39" s="3" t="s">
        <v>315</v>
      </c>
      <c r="E39" s="3" t="s">
        <v>27</v>
      </c>
      <c r="F39" s="11">
        <v>20000</v>
      </c>
      <c r="G39" s="14">
        <v>3</v>
      </c>
      <c r="H39" s="3" t="s">
        <v>28</v>
      </c>
      <c r="I39" s="3" t="s">
        <v>53</v>
      </c>
      <c r="J39" s="3" t="str">
        <f>IFERROR(IF(AND(Table1[[#This Row],[Sales]]=0,Table1[[#This Row],[Quantity]]&lt;&gt;0),"Sales Missing",IF(AND(Table1[[#This Row],[Sales]]&lt;&gt;0,Table1[[#This Row],[Quantity]]=0),"Quantity Missing",IF(AND(Table1[[#This Row],[Sales]]=0,Table1[[#This Row],[Quantity]]=0),"Both Missing","Valid Response"))),"No Data")</f>
        <v>Valid Response</v>
      </c>
    </row>
    <row r="40" spans="2:10" x14ac:dyDescent="0.25">
      <c r="B40" s="17">
        <v>1035</v>
      </c>
      <c r="C40" s="4">
        <v>45692</v>
      </c>
      <c r="D40" s="3" t="s">
        <v>45</v>
      </c>
      <c r="E40" s="3" t="s">
        <v>27</v>
      </c>
      <c r="F40" s="11">
        <v>0</v>
      </c>
      <c r="G40" s="14">
        <v>1</v>
      </c>
      <c r="H40" s="3" t="s">
        <v>38</v>
      </c>
      <c r="I40" s="3" t="s">
        <v>21</v>
      </c>
      <c r="J40" s="3" t="str">
        <f>IFERROR(IF(AND(Table1[[#This Row],[Sales]]=0,Table1[[#This Row],[Quantity]]&lt;&gt;0),"Sales Missing",IF(AND(Table1[[#This Row],[Sales]]&lt;&gt;0,Table1[[#This Row],[Quantity]]=0),"Quantity Missing",IF(AND(Table1[[#This Row],[Sales]]=0,Table1[[#This Row],[Quantity]]=0),"Both Missing","Valid Response"))),"No Data")</f>
        <v>Sales Missing</v>
      </c>
    </row>
    <row r="41" spans="2:10" x14ac:dyDescent="0.25">
      <c r="B41" s="17">
        <v>1036</v>
      </c>
      <c r="C41" s="4">
        <v>45693</v>
      </c>
      <c r="D41" s="3" t="s">
        <v>314</v>
      </c>
      <c r="E41" s="3" t="s">
        <v>19</v>
      </c>
      <c r="F41" s="11">
        <v>15000</v>
      </c>
      <c r="G41" s="14">
        <v>3</v>
      </c>
      <c r="H41" s="3" t="s">
        <v>46</v>
      </c>
      <c r="I41" s="3" t="s">
        <v>31</v>
      </c>
      <c r="J41" s="3" t="str">
        <f>IFERROR(IF(AND(Table1[[#This Row],[Sales]]=0,Table1[[#This Row],[Quantity]]&lt;&gt;0),"Sales Missing",IF(AND(Table1[[#This Row],[Sales]]&lt;&gt;0,Table1[[#This Row],[Quantity]]=0),"Quantity Missing",IF(AND(Table1[[#This Row],[Sales]]=0,Table1[[#This Row],[Quantity]]=0),"Both Missing","Valid Response"))),"No Data")</f>
        <v>Valid Response</v>
      </c>
    </row>
    <row r="42" spans="2:10" x14ac:dyDescent="0.25">
      <c r="B42" s="17">
        <v>1037</v>
      </c>
      <c r="C42" s="4">
        <v>45694</v>
      </c>
      <c r="D42" s="3" t="s">
        <v>314</v>
      </c>
      <c r="E42" s="3" t="s">
        <v>19</v>
      </c>
      <c r="F42" s="11">
        <v>55000</v>
      </c>
      <c r="G42" s="14">
        <v>1</v>
      </c>
      <c r="H42" s="3" t="s">
        <v>46</v>
      </c>
      <c r="I42" s="3" t="s">
        <v>53</v>
      </c>
      <c r="J42" s="3" t="str">
        <f>IFERROR(IF(AND(Table1[[#This Row],[Sales]]=0,Table1[[#This Row],[Quantity]]&lt;&gt;0),"Sales Missing",IF(AND(Table1[[#This Row],[Sales]]&lt;&gt;0,Table1[[#This Row],[Quantity]]=0),"Quantity Missing",IF(AND(Table1[[#This Row],[Sales]]=0,Table1[[#This Row],[Quantity]]=0),"Both Missing","Valid Response"))),"No Data")</f>
        <v>Valid Response</v>
      </c>
    </row>
    <row r="43" spans="2:10" x14ac:dyDescent="0.25">
      <c r="B43" s="17">
        <v>1038</v>
      </c>
      <c r="C43" s="4">
        <v>45695</v>
      </c>
      <c r="D43" s="3" t="s">
        <v>23</v>
      </c>
      <c r="E43" s="3" t="s">
        <v>27</v>
      </c>
      <c r="F43" s="11">
        <v>20000</v>
      </c>
      <c r="G43" s="14">
        <v>2</v>
      </c>
      <c r="H43" s="3" t="s">
        <v>24</v>
      </c>
      <c r="I43" s="3" t="s">
        <v>29</v>
      </c>
      <c r="J43" s="3" t="str">
        <f>IFERROR(IF(AND(Table1[[#This Row],[Sales]]=0,Table1[[#This Row],[Quantity]]&lt;&gt;0),"Sales Missing",IF(AND(Table1[[#This Row],[Sales]]&lt;&gt;0,Table1[[#This Row],[Quantity]]=0),"Quantity Missing",IF(AND(Table1[[#This Row],[Sales]]=0,Table1[[#This Row],[Quantity]]=0),"Both Missing","Valid Response"))),"No Data")</f>
        <v>Valid Response</v>
      </c>
    </row>
    <row r="44" spans="2:10" x14ac:dyDescent="0.25">
      <c r="B44" s="17">
        <v>1039</v>
      </c>
      <c r="C44" s="4">
        <v>45696</v>
      </c>
      <c r="D44" s="3" t="s">
        <v>23</v>
      </c>
      <c r="E44" s="3" t="s">
        <v>19</v>
      </c>
      <c r="F44" s="11">
        <v>20000</v>
      </c>
      <c r="G44" s="14">
        <v>3</v>
      </c>
      <c r="H44" s="3" t="s">
        <v>28</v>
      </c>
      <c r="I44" s="3" t="s">
        <v>53</v>
      </c>
      <c r="J44" s="3" t="str">
        <f>IFERROR(IF(AND(Table1[[#This Row],[Sales]]=0,Table1[[#This Row],[Quantity]]&lt;&gt;0),"Sales Missing",IF(AND(Table1[[#This Row],[Sales]]&lt;&gt;0,Table1[[#This Row],[Quantity]]=0),"Quantity Missing",IF(AND(Table1[[#This Row],[Sales]]=0,Table1[[#This Row],[Quantity]]=0),"Both Missing","Valid Response"))),"No Data")</f>
        <v>Valid Response</v>
      </c>
    </row>
    <row r="45" spans="2:10" x14ac:dyDescent="0.25">
      <c r="B45" s="17">
        <v>1040</v>
      </c>
      <c r="C45" s="4">
        <v>45697</v>
      </c>
      <c r="D45" s="3" t="s">
        <v>315</v>
      </c>
      <c r="E45" s="3" t="s">
        <v>27</v>
      </c>
      <c r="F45" s="11">
        <v>0</v>
      </c>
      <c r="G45" s="14">
        <v>1</v>
      </c>
      <c r="H45" s="3" t="s">
        <v>34</v>
      </c>
      <c r="I45" s="3" t="s">
        <v>21</v>
      </c>
      <c r="J45" s="3" t="str">
        <f>IFERROR(IF(AND(Table1[[#This Row],[Sales]]=0,Table1[[#This Row],[Quantity]]&lt;&gt;0),"Sales Missing",IF(AND(Table1[[#This Row],[Sales]]&lt;&gt;0,Table1[[#This Row],[Quantity]]=0),"Quantity Missing",IF(AND(Table1[[#This Row],[Sales]]=0,Table1[[#This Row],[Quantity]]=0),"Both Missing","Valid Response"))),"No Data")</f>
        <v>Sales Missing</v>
      </c>
    </row>
    <row r="46" spans="2:10" x14ac:dyDescent="0.25">
      <c r="B46" s="17">
        <v>1041</v>
      </c>
      <c r="C46" s="4">
        <v>45698</v>
      </c>
      <c r="D46" s="3" t="s">
        <v>33</v>
      </c>
      <c r="E46" s="3" t="s">
        <v>19</v>
      </c>
      <c r="F46" s="11">
        <v>48000</v>
      </c>
      <c r="G46" s="14">
        <v>1</v>
      </c>
      <c r="H46" s="3" t="s">
        <v>24</v>
      </c>
      <c r="I46" s="3" t="s">
        <v>31</v>
      </c>
      <c r="J46" s="3" t="str">
        <f>IFERROR(IF(AND(Table1[[#This Row],[Sales]]=0,Table1[[#This Row],[Quantity]]&lt;&gt;0),"Sales Missing",IF(AND(Table1[[#This Row],[Sales]]&lt;&gt;0,Table1[[#This Row],[Quantity]]=0),"Quantity Missing",IF(AND(Table1[[#This Row],[Sales]]=0,Table1[[#This Row],[Quantity]]=0),"Both Missing","Valid Response"))),"No Data")</f>
        <v>Valid Response</v>
      </c>
    </row>
    <row r="47" spans="2:10" x14ac:dyDescent="0.25">
      <c r="B47" s="17">
        <v>1042</v>
      </c>
      <c r="C47" s="4">
        <v>45699</v>
      </c>
      <c r="D47" s="3" t="s">
        <v>23</v>
      </c>
      <c r="E47" s="3" t="s">
        <v>27</v>
      </c>
      <c r="F47" s="11">
        <v>55000</v>
      </c>
      <c r="G47" s="14">
        <v>3</v>
      </c>
      <c r="H47" s="3" t="s">
        <v>24</v>
      </c>
      <c r="I47" s="3" t="s">
        <v>21</v>
      </c>
      <c r="J47" s="3" t="str">
        <f>IFERROR(IF(AND(Table1[[#This Row],[Sales]]=0,Table1[[#This Row],[Quantity]]&lt;&gt;0),"Sales Missing",IF(AND(Table1[[#This Row],[Sales]]&lt;&gt;0,Table1[[#This Row],[Quantity]]=0),"Quantity Missing",IF(AND(Table1[[#This Row],[Sales]]=0,Table1[[#This Row],[Quantity]]=0),"Both Missing","Valid Response"))),"No Data")</f>
        <v>Valid Response</v>
      </c>
    </row>
    <row r="48" spans="2:10" x14ac:dyDescent="0.25">
      <c r="B48" s="17">
        <v>1043</v>
      </c>
      <c r="C48" s="4">
        <v>45700</v>
      </c>
      <c r="D48" s="3" t="s">
        <v>23</v>
      </c>
      <c r="E48" s="3" t="s">
        <v>19</v>
      </c>
      <c r="F48" s="11">
        <v>20000</v>
      </c>
      <c r="G48" s="14">
        <v>2</v>
      </c>
      <c r="H48" s="3" t="s">
        <v>38</v>
      </c>
      <c r="I48" s="3" t="s">
        <v>53</v>
      </c>
      <c r="J48" s="3" t="str">
        <f>IFERROR(IF(AND(Table1[[#This Row],[Sales]]=0,Table1[[#This Row],[Quantity]]&lt;&gt;0),"Sales Missing",IF(AND(Table1[[#This Row],[Sales]]&lt;&gt;0,Table1[[#This Row],[Quantity]]=0),"Quantity Missing",IF(AND(Table1[[#This Row],[Sales]]=0,Table1[[#This Row],[Quantity]]=0),"Both Missing","Valid Response"))),"No Data")</f>
        <v>Valid Response</v>
      </c>
    </row>
    <row r="49" spans="2:10" x14ac:dyDescent="0.25">
      <c r="B49" s="17">
        <v>1044</v>
      </c>
      <c r="C49" s="4">
        <v>45701</v>
      </c>
      <c r="D49" s="3" t="s">
        <v>23</v>
      </c>
      <c r="E49" s="3" t="s">
        <v>27</v>
      </c>
      <c r="F49" s="11">
        <v>48000</v>
      </c>
      <c r="G49" s="14">
        <v>2</v>
      </c>
      <c r="H49" s="3" t="s">
        <v>38</v>
      </c>
      <c r="I49" s="3" t="s">
        <v>29</v>
      </c>
      <c r="J49" s="3" t="str">
        <f>IFERROR(IF(AND(Table1[[#This Row],[Sales]]=0,Table1[[#This Row],[Quantity]]&lt;&gt;0),"Sales Missing",IF(AND(Table1[[#This Row],[Sales]]&lt;&gt;0,Table1[[#This Row],[Quantity]]=0),"Quantity Missing",IF(AND(Table1[[#This Row],[Sales]]=0,Table1[[#This Row],[Quantity]]=0),"Both Missing","Valid Response"))),"No Data")</f>
        <v>Valid Response</v>
      </c>
    </row>
    <row r="50" spans="2:10" x14ac:dyDescent="0.25">
      <c r="B50" s="17">
        <v>1045</v>
      </c>
      <c r="C50" s="4">
        <v>45702</v>
      </c>
      <c r="D50" s="3" t="s">
        <v>45</v>
      </c>
      <c r="E50" s="3" t="s">
        <v>19</v>
      </c>
      <c r="F50" s="11">
        <v>53000</v>
      </c>
      <c r="G50" s="14">
        <v>3</v>
      </c>
      <c r="H50" s="3" t="s">
        <v>46</v>
      </c>
      <c r="I50" s="3" t="s">
        <v>21</v>
      </c>
      <c r="J50" s="3" t="str">
        <f>IFERROR(IF(AND(Table1[[#This Row],[Sales]]=0,Table1[[#This Row],[Quantity]]&lt;&gt;0),"Sales Missing",IF(AND(Table1[[#This Row],[Sales]]&lt;&gt;0,Table1[[#This Row],[Quantity]]=0),"Quantity Missing",IF(AND(Table1[[#This Row],[Sales]]=0,Table1[[#This Row],[Quantity]]=0),"Both Missing","Valid Response"))),"No Data")</f>
        <v>Valid Response</v>
      </c>
    </row>
    <row r="51" spans="2:10" x14ac:dyDescent="0.25">
      <c r="B51" s="17">
        <v>1046</v>
      </c>
      <c r="C51" s="4">
        <v>45703</v>
      </c>
      <c r="D51" s="3" t="s">
        <v>23</v>
      </c>
      <c r="E51" s="3" t="s">
        <v>19</v>
      </c>
      <c r="F51" s="11">
        <v>48000</v>
      </c>
      <c r="G51" s="14">
        <v>2</v>
      </c>
      <c r="H51" s="3" t="s">
        <v>15</v>
      </c>
      <c r="I51" s="3" t="s">
        <v>31</v>
      </c>
      <c r="J51" s="3" t="str">
        <f>IFERROR(IF(AND(Table1[[#This Row],[Sales]]=0,Table1[[#This Row],[Quantity]]&lt;&gt;0),"Sales Missing",IF(AND(Table1[[#This Row],[Sales]]&lt;&gt;0,Table1[[#This Row],[Quantity]]=0),"Quantity Missing",IF(AND(Table1[[#This Row],[Sales]]=0,Table1[[#This Row],[Quantity]]=0),"Both Missing","Valid Response"))),"No Data")</f>
        <v>Valid Response</v>
      </c>
    </row>
    <row r="52" spans="2:10" x14ac:dyDescent="0.25">
      <c r="B52" s="17">
        <v>1047</v>
      </c>
      <c r="C52" s="4">
        <v>45704</v>
      </c>
      <c r="D52" s="3" t="s">
        <v>23</v>
      </c>
      <c r="E52" s="3" t="s">
        <v>10</v>
      </c>
      <c r="F52" s="11">
        <v>55000</v>
      </c>
      <c r="G52" s="14">
        <v>3</v>
      </c>
      <c r="H52" s="3" t="s">
        <v>38</v>
      </c>
      <c r="I52" s="3" t="s">
        <v>21</v>
      </c>
      <c r="J52" s="3" t="str">
        <f>IFERROR(IF(AND(Table1[[#This Row],[Sales]]=0,Table1[[#This Row],[Quantity]]&lt;&gt;0),"Sales Missing",IF(AND(Table1[[#This Row],[Sales]]&lt;&gt;0,Table1[[#This Row],[Quantity]]=0),"Quantity Missing",IF(AND(Table1[[#This Row],[Sales]]=0,Table1[[#This Row],[Quantity]]=0),"Both Missing","Valid Response"))),"No Data")</f>
        <v>Valid Response</v>
      </c>
    </row>
    <row r="53" spans="2:10" x14ac:dyDescent="0.25">
      <c r="B53" s="17">
        <v>1048</v>
      </c>
      <c r="C53" s="4">
        <v>45705</v>
      </c>
      <c r="D53" s="3" t="s">
        <v>23</v>
      </c>
      <c r="E53" s="3" t="s">
        <v>10</v>
      </c>
      <c r="F53" s="11">
        <v>52000</v>
      </c>
      <c r="G53" s="14">
        <v>0</v>
      </c>
      <c r="H53" s="3" t="s">
        <v>46</v>
      </c>
      <c r="I53" s="3" t="s">
        <v>21</v>
      </c>
      <c r="J53" s="3" t="str">
        <f>IFERROR(IF(AND(Table1[[#This Row],[Sales]]=0,Table1[[#This Row],[Quantity]]&lt;&gt;0),"Sales Missing",IF(AND(Table1[[#This Row],[Sales]]&lt;&gt;0,Table1[[#This Row],[Quantity]]=0),"Quantity Missing",IF(AND(Table1[[#This Row],[Sales]]=0,Table1[[#This Row],[Quantity]]=0),"Both Missing","Valid Response"))),"No Data")</f>
        <v>Quantity Missing</v>
      </c>
    </row>
    <row r="54" spans="2:10" x14ac:dyDescent="0.25">
      <c r="B54" s="17">
        <v>1049</v>
      </c>
      <c r="C54" s="4">
        <v>45706</v>
      </c>
      <c r="D54" s="3" t="s">
        <v>33</v>
      </c>
      <c r="E54" s="3" t="s">
        <v>19</v>
      </c>
      <c r="F54" s="11">
        <v>52000</v>
      </c>
      <c r="G54" s="14">
        <v>0</v>
      </c>
      <c r="H54" s="3" t="s">
        <v>28</v>
      </c>
      <c r="I54" s="3" t="s">
        <v>31</v>
      </c>
      <c r="J54" s="3" t="str">
        <f>IFERROR(IF(AND(Table1[[#This Row],[Sales]]=0,Table1[[#This Row],[Quantity]]&lt;&gt;0),"Sales Missing",IF(AND(Table1[[#This Row],[Sales]]&lt;&gt;0,Table1[[#This Row],[Quantity]]=0),"Quantity Missing",IF(AND(Table1[[#This Row],[Sales]]=0,Table1[[#This Row],[Quantity]]=0),"Both Missing","Valid Response"))),"No Data")</f>
        <v>Quantity Missing</v>
      </c>
    </row>
    <row r="55" spans="2:10" x14ac:dyDescent="0.25">
      <c r="B55" s="17">
        <v>1050</v>
      </c>
      <c r="C55" s="4">
        <v>45707</v>
      </c>
      <c r="D55" s="3" t="s">
        <v>23</v>
      </c>
      <c r="E55" s="3" t="s">
        <v>19</v>
      </c>
      <c r="F55" s="11">
        <v>15000</v>
      </c>
      <c r="G55" s="14">
        <v>1</v>
      </c>
      <c r="H55" s="3" t="s">
        <v>38</v>
      </c>
      <c r="I55" s="3" t="s">
        <v>31</v>
      </c>
      <c r="J55" s="3" t="str">
        <f>IFERROR(IF(AND(Table1[[#This Row],[Sales]]=0,Table1[[#This Row],[Quantity]]&lt;&gt;0),"Sales Missing",IF(AND(Table1[[#This Row],[Sales]]&lt;&gt;0,Table1[[#This Row],[Quantity]]=0),"Quantity Missing",IF(AND(Table1[[#This Row],[Sales]]=0,Table1[[#This Row],[Quantity]]=0),"Both Missing","Valid Response"))),"No Data")</f>
        <v>Valid Response</v>
      </c>
    </row>
    <row r="56" spans="2:10" x14ac:dyDescent="0.25">
      <c r="B56" s="17">
        <v>1051</v>
      </c>
      <c r="C56" s="4">
        <v>45708</v>
      </c>
      <c r="D56" s="3" t="s">
        <v>33</v>
      </c>
      <c r="E56" s="3" t="s">
        <v>27</v>
      </c>
      <c r="F56" s="11">
        <v>15000</v>
      </c>
      <c r="G56" s="14">
        <v>0</v>
      </c>
      <c r="H56" s="3" t="s">
        <v>24</v>
      </c>
      <c r="I56" s="3" t="s">
        <v>21</v>
      </c>
      <c r="J56" s="3" t="str">
        <f>IFERROR(IF(AND(Table1[[#This Row],[Sales]]=0,Table1[[#This Row],[Quantity]]&lt;&gt;0),"Sales Missing",IF(AND(Table1[[#This Row],[Sales]]&lt;&gt;0,Table1[[#This Row],[Quantity]]=0),"Quantity Missing",IF(AND(Table1[[#This Row],[Sales]]=0,Table1[[#This Row],[Quantity]]=0),"Both Missing","Valid Response"))),"No Data")</f>
        <v>Quantity Missing</v>
      </c>
    </row>
    <row r="57" spans="2:10" x14ac:dyDescent="0.25">
      <c r="B57" s="17">
        <v>1052</v>
      </c>
      <c r="C57" s="4">
        <v>45709</v>
      </c>
      <c r="D57" s="3" t="s">
        <v>314</v>
      </c>
      <c r="E57" s="3" t="s">
        <v>19</v>
      </c>
      <c r="F57" s="11">
        <v>52000</v>
      </c>
      <c r="G57" s="14">
        <v>1</v>
      </c>
      <c r="H57" s="3" t="s">
        <v>11</v>
      </c>
      <c r="I57" s="3" t="s">
        <v>53</v>
      </c>
      <c r="J57" s="3" t="str">
        <f>IFERROR(IF(AND(Table1[[#This Row],[Sales]]=0,Table1[[#This Row],[Quantity]]&lt;&gt;0),"Sales Missing",IF(AND(Table1[[#This Row],[Sales]]&lt;&gt;0,Table1[[#This Row],[Quantity]]=0),"Quantity Missing",IF(AND(Table1[[#This Row],[Sales]]=0,Table1[[#This Row],[Quantity]]=0),"Both Missing","Valid Response"))),"No Data")</f>
        <v>Valid Response</v>
      </c>
    </row>
    <row r="58" spans="2:10" x14ac:dyDescent="0.25">
      <c r="B58" s="17">
        <v>1053</v>
      </c>
      <c r="C58" s="4">
        <v>45710</v>
      </c>
      <c r="D58" s="3" t="s">
        <v>33</v>
      </c>
      <c r="E58" s="3" t="s">
        <v>27</v>
      </c>
      <c r="F58" s="11">
        <v>55000</v>
      </c>
      <c r="G58" s="14">
        <v>3</v>
      </c>
      <c r="H58" s="3" t="s">
        <v>38</v>
      </c>
      <c r="I58" s="3" t="s">
        <v>53</v>
      </c>
      <c r="J58" s="3" t="str">
        <f>IFERROR(IF(AND(Table1[[#This Row],[Sales]]=0,Table1[[#This Row],[Quantity]]&lt;&gt;0),"Sales Missing",IF(AND(Table1[[#This Row],[Sales]]&lt;&gt;0,Table1[[#This Row],[Quantity]]=0),"Quantity Missing",IF(AND(Table1[[#This Row],[Sales]]=0,Table1[[#This Row],[Quantity]]=0),"Both Missing","Valid Response"))),"No Data")</f>
        <v>Valid Response</v>
      </c>
    </row>
    <row r="59" spans="2:10" x14ac:dyDescent="0.25">
      <c r="B59" s="17">
        <v>1054</v>
      </c>
      <c r="C59" s="4">
        <v>45711</v>
      </c>
      <c r="D59" s="3" t="s">
        <v>314</v>
      </c>
      <c r="E59" s="3" t="s">
        <v>19</v>
      </c>
      <c r="F59" s="11">
        <v>21000</v>
      </c>
      <c r="G59" s="14">
        <v>1</v>
      </c>
      <c r="H59" s="3" t="s">
        <v>28</v>
      </c>
      <c r="I59" s="3" t="s">
        <v>31</v>
      </c>
      <c r="J59" s="3" t="str">
        <f>IFERROR(IF(AND(Table1[[#This Row],[Sales]]=0,Table1[[#This Row],[Quantity]]&lt;&gt;0),"Sales Missing",IF(AND(Table1[[#This Row],[Sales]]&lt;&gt;0,Table1[[#This Row],[Quantity]]=0),"Quantity Missing",IF(AND(Table1[[#This Row],[Sales]]=0,Table1[[#This Row],[Quantity]]=0),"Both Missing","Valid Response"))),"No Data")</f>
        <v>Valid Response</v>
      </c>
    </row>
    <row r="60" spans="2:10" x14ac:dyDescent="0.25">
      <c r="B60" s="17">
        <v>1055</v>
      </c>
      <c r="C60" s="4">
        <v>45712</v>
      </c>
      <c r="D60" s="3" t="s">
        <v>33</v>
      </c>
      <c r="E60" s="3" t="s">
        <v>19</v>
      </c>
      <c r="F60" s="11">
        <v>55000</v>
      </c>
      <c r="G60" s="14">
        <v>2</v>
      </c>
      <c r="H60" s="3" t="s">
        <v>38</v>
      </c>
      <c r="I60" s="3" t="s">
        <v>29</v>
      </c>
      <c r="J60" s="3" t="str">
        <f>IFERROR(IF(AND(Table1[[#This Row],[Sales]]=0,Table1[[#This Row],[Quantity]]&lt;&gt;0),"Sales Missing",IF(AND(Table1[[#This Row],[Sales]]&lt;&gt;0,Table1[[#This Row],[Quantity]]=0),"Quantity Missing",IF(AND(Table1[[#This Row],[Sales]]=0,Table1[[#This Row],[Quantity]]=0),"Both Missing","Valid Response"))),"No Data")</f>
        <v>Valid Response</v>
      </c>
    </row>
    <row r="61" spans="2:10" x14ac:dyDescent="0.25">
      <c r="B61" s="17">
        <v>1056</v>
      </c>
      <c r="C61" s="4">
        <v>45713</v>
      </c>
      <c r="D61" s="3" t="s">
        <v>33</v>
      </c>
      <c r="E61" s="3" t="s">
        <v>27</v>
      </c>
      <c r="F61" s="11">
        <v>48000</v>
      </c>
      <c r="G61" s="14">
        <v>2</v>
      </c>
      <c r="H61" s="3" t="s">
        <v>28</v>
      </c>
      <c r="I61" s="3" t="s">
        <v>53</v>
      </c>
      <c r="J61" s="3" t="str">
        <f>IFERROR(IF(AND(Table1[[#This Row],[Sales]]=0,Table1[[#This Row],[Quantity]]&lt;&gt;0),"Sales Missing",IF(AND(Table1[[#This Row],[Sales]]&lt;&gt;0,Table1[[#This Row],[Quantity]]=0),"Quantity Missing",IF(AND(Table1[[#This Row],[Sales]]=0,Table1[[#This Row],[Quantity]]=0),"Both Missing","Valid Response"))),"No Data")</f>
        <v>Valid Response</v>
      </c>
    </row>
    <row r="62" spans="2:10" x14ac:dyDescent="0.25">
      <c r="B62" s="17">
        <v>1057</v>
      </c>
      <c r="C62" s="4">
        <v>45714</v>
      </c>
      <c r="D62" s="3" t="s">
        <v>315</v>
      </c>
      <c r="E62" s="3" t="s">
        <v>27</v>
      </c>
      <c r="F62" s="11">
        <v>52000</v>
      </c>
      <c r="G62" s="14">
        <v>2</v>
      </c>
      <c r="H62" s="3" t="s">
        <v>24</v>
      </c>
      <c r="I62" s="3" t="s">
        <v>53</v>
      </c>
      <c r="J62" s="3" t="str">
        <f>IFERROR(IF(AND(Table1[[#This Row],[Sales]]=0,Table1[[#This Row],[Quantity]]&lt;&gt;0),"Sales Missing",IF(AND(Table1[[#This Row],[Sales]]&lt;&gt;0,Table1[[#This Row],[Quantity]]=0),"Quantity Missing",IF(AND(Table1[[#This Row],[Sales]]=0,Table1[[#This Row],[Quantity]]=0),"Both Missing","Valid Response"))),"No Data")</f>
        <v>Valid Response</v>
      </c>
    </row>
    <row r="63" spans="2:10" x14ac:dyDescent="0.25">
      <c r="B63" s="17">
        <v>1058</v>
      </c>
      <c r="C63" s="4">
        <v>45715</v>
      </c>
      <c r="D63" s="3" t="s">
        <v>23</v>
      </c>
      <c r="E63" s="3" t="s">
        <v>27</v>
      </c>
      <c r="F63" s="11">
        <v>21000</v>
      </c>
      <c r="G63" s="14">
        <v>2</v>
      </c>
      <c r="H63" s="3" t="s">
        <v>11</v>
      </c>
      <c r="I63" s="3" t="s">
        <v>53</v>
      </c>
      <c r="J63" s="3" t="str">
        <f>IFERROR(IF(AND(Table1[[#This Row],[Sales]]=0,Table1[[#This Row],[Quantity]]&lt;&gt;0),"Sales Missing",IF(AND(Table1[[#This Row],[Sales]]&lt;&gt;0,Table1[[#This Row],[Quantity]]=0),"Quantity Missing",IF(AND(Table1[[#This Row],[Sales]]=0,Table1[[#This Row],[Quantity]]=0),"Both Missing","Valid Response"))),"No Data")</f>
        <v>Valid Response</v>
      </c>
    </row>
    <row r="64" spans="2:10" x14ac:dyDescent="0.25">
      <c r="B64" s="17">
        <v>1059</v>
      </c>
      <c r="C64" s="4">
        <v>45716</v>
      </c>
      <c r="D64" s="3" t="s">
        <v>315</v>
      </c>
      <c r="E64" s="3" t="s">
        <v>27</v>
      </c>
      <c r="F64" s="11">
        <v>48000</v>
      </c>
      <c r="G64" s="14">
        <v>3</v>
      </c>
      <c r="H64" s="3" t="s">
        <v>28</v>
      </c>
      <c r="I64" s="3" t="s">
        <v>53</v>
      </c>
      <c r="J64" s="3" t="str">
        <f>IFERROR(IF(AND(Table1[[#This Row],[Sales]]=0,Table1[[#This Row],[Quantity]]&lt;&gt;0),"Sales Missing",IF(AND(Table1[[#This Row],[Sales]]&lt;&gt;0,Table1[[#This Row],[Quantity]]=0),"Quantity Missing",IF(AND(Table1[[#This Row],[Sales]]=0,Table1[[#This Row],[Quantity]]=0),"Both Missing","Valid Response"))),"No Data")</f>
        <v>Valid Response</v>
      </c>
    </row>
    <row r="65" spans="2:10" x14ac:dyDescent="0.25">
      <c r="B65" s="17">
        <v>1060</v>
      </c>
      <c r="C65" s="4">
        <v>45717</v>
      </c>
      <c r="D65" s="3" t="s">
        <v>33</v>
      </c>
      <c r="E65" s="3" t="s">
        <v>27</v>
      </c>
      <c r="F65" s="11">
        <v>21000</v>
      </c>
      <c r="G65" s="14">
        <v>0</v>
      </c>
      <c r="H65" s="3" t="s">
        <v>38</v>
      </c>
      <c r="I65" s="3" t="s">
        <v>31</v>
      </c>
      <c r="J65" s="3" t="str">
        <f>IFERROR(IF(AND(Table1[[#This Row],[Sales]]=0,Table1[[#This Row],[Quantity]]&lt;&gt;0),"Sales Missing",IF(AND(Table1[[#This Row],[Sales]]&lt;&gt;0,Table1[[#This Row],[Quantity]]=0),"Quantity Missing",IF(AND(Table1[[#This Row],[Sales]]=0,Table1[[#This Row],[Quantity]]=0),"Both Missing","Valid Response"))),"No Data")</f>
        <v>Quantity Missing</v>
      </c>
    </row>
    <row r="66" spans="2:10" x14ac:dyDescent="0.25">
      <c r="B66" s="17">
        <v>1061</v>
      </c>
      <c r="C66" s="4">
        <v>45718</v>
      </c>
      <c r="D66" s="3" t="s">
        <v>23</v>
      </c>
      <c r="E66" s="3" t="s">
        <v>27</v>
      </c>
      <c r="F66" s="11">
        <v>21000</v>
      </c>
      <c r="G66" s="14">
        <v>2</v>
      </c>
      <c r="H66" s="3" t="s">
        <v>24</v>
      </c>
      <c r="I66" s="3" t="s">
        <v>53</v>
      </c>
      <c r="J66" s="3" t="str">
        <f>IFERROR(IF(AND(Table1[[#This Row],[Sales]]=0,Table1[[#This Row],[Quantity]]&lt;&gt;0),"Sales Missing",IF(AND(Table1[[#This Row],[Sales]]&lt;&gt;0,Table1[[#This Row],[Quantity]]=0),"Quantity Missing",IF(AND(Table1[[#This Row],[Sales]]=0,Table1[[#This Row],[Quantity]]=0),"Both Missing","Valid Response"))),"No Data")</f>
        <v>Valid Response</v>
      </c>
    </row>
    <row r="67" spans="2:10" x14ac:dyDescent="0.25">
      <c r="B67" s="17">
        <v>1062</v>
      </c>
      <c r="C67" s="4">
        <v>45719</v>
      </c>
      <c r="D67" s="3" t="s">
        <v>33</v>
      </c>
      <c r="E67" s="3" t="s">
        <v>19</v>
      </c>
      <c r="F67" s="11">
        <v>55000</v>
      </c>
      <c r="G67" s="14">
        <v>3</v>
      </c>
      <c r="H67" s="3" t="s">
        <v>34</v>
      </c>
      <c r="I67" s="3" t="s">
        <v>21</v>
      </c>
      <c r="J67" s="3" t="str">
        <f>IFERROR(IF(AND(Table1[[#This Row],[Sales]]=0,Table1[[#This Row],[Quantity]]&lt;&gt;0),"Sales Missing",IF(AND(Table1[[#This Row],[Sales]]&lt;&gt;0,Table1[[#This Row],[Quantity]]=0),"Quantity Missing",IF(AND(Table1[[#This Row],[Sales]]=0,Table1[[#This Row],[Quantity]]=0),"Both Missing","Valid Response"))),"No Data")</f>
        <v>Valid Response</v>
      </c>
    </row>
    <row r="68" spans="2:10" x14ac:dyDescent="0.25">
      <c r="B68" s="17">
        <v>1063</v>
      </c>
      <c r="C68" s="4">
        <v>45720</v>
      </c>
      <c r="D68" s="3" t="s">
        <v>33</v>
      </c>
      <c r="E68" s="3" t="s">
        <v>27</v>
      </c>
      <c r="F68" s="11">
        <v>0</v>
      </c>
      <c r="G68" s="14">
        <v>0</v>
      </c>
      <c r="H68" s="3" t="s">
        <v>38</v>
      </c>
      <c r="I68" s="3" t="s">
        <v>21</v>
      </c>
      <c r="J68" s="3" t="str">
        <f>IFERROR(IF(AND(Table1[[#This Row],[Sales]]=0,Table1[[#This Row],[Quantity]]&lt;&gt;0),"Sales Missing",IF(AND(Table1[[#This Row],[Sales]]&lt;&gt;0,Table1[[#This Row],[Quantity]]=0),"Quantity Missing",IF(AND(Table1[[#This Row],[Sales]]=0,Table1[[#This Row],[Quantity]]=0),"Both Missing","Valid Response"))),"No Data")</f>
        <v>Both Missing</v>
      </c>
    </row>
    <row r="69" spans="2:10" x14ac:dyDescent="0.25">
      <c r="B69" s="17">
        <v>1064</v>
      </c>
      <c r="C69" s="4">
        <v>45721</v>
      </c>
      <c r="D69" s="3" t="s">
        <v>23</v>
      </c>
      <c r="E69" s="3" t="s">
        <v>27</v>
      </c>
      <c r="F69" s="11">
        <v>21000</v>
      </c>
      <c r="G69" s="14">
        <v>2</v>
      </c>
      <c r="H69" s="3" t="s">
        <v>38</v>
      </c>
      <c r="I69" s="3" t="s">
        <v>21</v>
      </c>
      <c r="J69" s="3" t="str">
        <f>IFERROR(IF(AND(Table1[[#This Row],[Sales]]=0,Table1[[#This Row],[Quantity]]&lt;&gt;0),"Sales Missing",IF(AND(Table1[[#This Row],[Sales]]&lt;&gt;0,Table1[[#This Row],[Quantity]]=0),"Quantity Missing",IF(AND(Table1[[#This Row],[Sales]]=0,Table1[[#This Row],[Quantity]]=0),"Both Missing","Valid Response"))),"No Data")</f>
        <v>Valid Response</v>
      </c>
    </row>
    <row r="70" spans="2:10" x14ac:dyDescent="0.25">
      <c r="B70" s="17">
        <v>1065</v>
      </c>
      <c r="C70" s="4">
        <v>45722</v>
      </c>
      <c r="D70" s="3" t="s">
        <v>315</v>
      </c>
      <c r="E70" s="3" t="s">
        <v>27</v>
      </c>
      <c r="F70" s="11">
        <v>0</v>
      </c>
      <c r="G70" s="14">
        <v>1</v>
      </c>
      <c r="H70" s="3" t="s">
        <v>24</v>
      </c>
      <c r="I70" s="3" t="s">
        <v>53</v>
      </c>
      <c r="J70" s="3" t="str">
        <f>IFERROR(IF(AND(Table1[[#This Row],[Sales]]=0,Table1[[#This Row],[Quantity]]&lt;&gt;0),"Sales Missing",IF(AND(Table1[[#This Row],[Sales]]&lt;&gt;0,Table1[[#This Row],[Quantity]]=0),"Quantity Missing",IF(AND(Table1[[#This Row],[Sales]]=0,Table1[[#This Row],[Quantity]]=0),"Both Missing","Valid Response"))),"No Data")</f>
        <v>Sales Missing</v>
      </c>
    </row>
    <row r="71" spans="2:10" x14ac:dyDescent="0.25">
      <c r="B71" s="17">
        <v>1066</v>
      </c>
      <c r="C71" s="4">
        <v>45723</v>
      </c>
      <c r="D71" s="3" t="s">
        <v>33</v>
      </c>
      <c r="E71" s="3" t="s">
        <v>19</v>
      </c>
      <c r="F71" s="11">
        <v>21000</v>
      </c>
      <c r="G71" s="14">
        <v>3</v>
      </c>
      <c r="H71" s="3" t="s">
        <v>20</v>
      </c>
      <c r="I71" s="3" t="s">
        <v>29</v>
      </c>
      <c r="J71" s="3" t="str">
        <f>IFERROR(IF(AND(Table1[[#This Row],[Sales]]=0,Table1[[#This Row],[Quantity]]&lt;&gt;0),"Sales Missing",IF(AND(Table1[[#This Row],[Sales]]&lt;&gt;0,Table1[[#This Row],[Quantity]]=0),"Quantity Missing",IF(AND(Table1[[#This Row],[Sales]]=0,Table1[[#This Row],[Quantity]]=0),"Both Missing","Valid Response"))),"No Data")</f>
        <v>Valid Response</v>
      </c>
    </row>
    <row r="72" spans="2:10" x14ac:dyDescent="0.25">
      <c r="B72" s="17">
        <v>1067</v>
      </c>
      <c r="C72" s="4">
        <v>45724</v>
      </c>
      <c r="D72" s="3" t="s">
        <v>23</v>
      </c>
      <c r="E72" s="3" t="s">
        <v>19</v>
      </c>
      <c r="F72" s="11">
        <v>53000</v>
      </c>
      <c r="G72" s="14">
        <v>1</v>
      </c>
      <c r="H72" s="3" t="s">
        <v>11</v>
      </c>
      <c r="I72" s="3" t="s">
        <v>29</v>
      </c>
      <c r="J72" s="3" t="str">
        <f>IFERROR(IF(AND(Table1[[#This Row],[Sales]]=0,Table1[[#This Row],[Quantity]]&lt;&gt;0),"Sales Missing",IF(AND(Table1[[#This Row],[Sales]]&lt;&gt;0,Table1[[#This Row],[Quantity]]=0),"Quantity Missing",IF(AND(Table1[[#This Row],[Sales]]=0,Table1[[#This Row],[Quantity]]=0),"Both Missing","Valid Response"))),"No Data")</f>
        <v>Valid Response</v>
      </c>
    </row>
    <row r="73" spans="2:10" x14ac:dyDescent="0.25">
      <c r="B73" s="17">
        <v>1068</v>
      </c>
      <c r="C73" s="4">
        <v>45725</v>
      </c>
      <c r="D73" s="3" t="s">
        <v>315</v>
      </c>
      <c r="E73" s="3" t="s">
        <v>19</v>
      </c>
      <c r="F73" s="11">
        <v>20000</v>
      </c>
      <c r="G73" s="14">
        <v>3</v>
      </c>
      <c r="H73" s="3" t="s">
        <v>11</v>
      </c>
      <c r="I73" s="3" t="s">
        <v>53</v>
      </c>
      <c r="J73" s="3" t="str">
        <f>IFERROR(IF(AND(Table1[[#This Row],[Sales]]=0,Table1[[#This Row],[Quantity]]&lt;&gt;0),"Sales Missing",IF(AND(Table1[[#This Row],[Sales]]&lt;&gt;0,Table1[[#This Row],[Quantity]]=0),"Quantity Missing",IF(AND(Table1[[#This Row],[Sales]]=0,Table1[[#This Row],[Quantity]]=0),"Both Missing","Valid Response"))),"No Data")</f>
        <v>Valid Response</v>
      </c>
    </row>
    <row r="74" spans="2:10" x14ac:dyDescent="0.25">
      <c r="B74" s="17">
        <v>1069</v>
      </c>
      <c r="C74" s="4">
        <v>45726</v>
      </c>
      <c r="D74" s="3" t="s">
        <v>314</v>
      </c>
      <c r="E74" s="3" t="s">
        <v>19</v>
      </c>
      <c r="F74" s="11">
        <v>55000</v>
      </c>
      <c r="G74" s="14">
        <v>1</v>
      </c>
      <c r="H74" s="3" t="s">
        <v>34</v>
      </c>
      <c r="I74" s="3" t="s">
        <v>53</v>
      </c>
      <c r="J74" s="3" t="str">
        <f>IFERROR(IF(AND(Table1[[#This Row],[Sales]]=0,Table1[[#This Row],[Quantity]]&lt;&gt;0),"Sales Missing",IF(AND(Table1[[#This Row],[Sales]]&lt;&gt;0,Table1[[#This Row],[Quantity]]=0),"Quantity Missing",IF(AND(Table1[[#This Row],[Sales]]=0,Table1[[#This Row],[Quantity]]=0),"Both Missing","Valid Response"))),"No Data")</f>
        <v>Valid Response</v>
      </c>
    </row>
    <row r="75" spans="2:10" x14ac:dyDescent="0.25">
      <c r="B75" s="17">
        <v>1070</v>
      </c>
      <c r="C75" s="4">
        <v>45727</v>
      </c>
      <c r="D75" s="3" t="s">
        <v>45</v>
      </c>
      <c r="E75" s="3" t="s">
        <v>19</v>
      </c>
      <c r="F75" s="11">
        <v>0</v>
      </c>
      <c r="G75" s="14">
        <v>0</v>
      </c>
      <c r="H75" s="3" t="s">
        <v>20</v>
      </c>
      <c r="I75" s="3" t="s">
        <v>53</v>
      </c>
      <c r="J75" s="3" t="str">
        <f>IFERROR(IF(AND(Table1[[#This Row],[Sales]]=0,Table1[[#This Row],[Quantity]]&lt;&gt;0),"Sales Missing",IF(AND(Table1[[#This Row],[Sales]]&lt;&gt;0,Table1[[#This Row],[Quantity]]=0),"Quantity Missing",IF(AND(Table1[[#This Row],[Sales]]=0,Table1[[#This Row],[Quantity]]=0),"Both Missing","Valid Response"))),"No Data")</f>
        <v>Both Missing</v>
      </c>
    </row>
    <row r="76" spans="2:10" x14ac:dyDescent="0.25">
      <c r="B76" s="17">
        <v>1071</v>
      </c>
      <c r="C76" s="4">
        <v>45728</v>
      </c>
      <c r="D76" s="3" t="s">
        <v>23</v>
      </c>
      <c r="E76" s="3" t="s">
        <v>10</v>
      </c>
      <c r="F76" s="11">
        <v>20000</v>
      </c>
      <c r="G76" s="14">
        <v>0</v>
      </c>
      <c r="H76" s="3" t="s">
        <v>24</v>
      </c>
      <c r="I76" s="3" t="s">
        <v>31</v>
      </c>
      <c r="J76" s="3" t="str">
        <f>IFERROR(IF(AND(Table1[[#This Row],[Sales]]=0,Table1[[#This Row],[Quantity]]&lt;&gt;0),"Sales Missing",IF(AND(Table1[[#This Row],[Sales]]&lt;&gt;0,Table1[[#This Row],[Quantity]]=0),"Quantity Missing",IF(AND(Table1[[#This Row],[Sales]]=0,Table1[[#This Row],[Quantity]]=0),"Both Missing","Valid Response"))),"No Data")</f>
        <v>Quantity Missing</v>
      </c>
    </row>
    <row r="77" spans="2:10" x14ac:dyDescent="0.25">
      <c r="B77" s="17">
        <v>1072</v>
      </c>
      <c r="C77" s="4">
        <v>45729</v>
      </c>
      <c r="D77" s="3" t="s">
        <v>23</v>
      </c>
      <c r="E77" s="3" t="s">
        <v>10</v>
      </c>
      <c r="F77" s="11">
        <v>0</v>
      </c>
      <c r="G77" s="14">
        <v>3</v>
      </c>
      <c r="H77" s="3" t="s">
        <v>15</v>
      </c>
      <c r="I77" s="3" t="s">
        <v>21</v>
      </c>
      <c r="J77" s="3" t="str">
        <f>IFERROR(IF(AND(Table1[[#This Row],[Sales]]=0,Table1[[#This Row],[Quantity]]&lt;&gt;0),"Sales Missing",IF(AND(Table1[[#This Row],[Sales]]&lt;&gt;0,Table1[[#This Row],[Quantity]]=0),"Quantity Missing",IF(AND(Table1[[#This Row],[Sales]]=0,Table1[[#This Row],[Quantity]]=0),"Both Missing","Valid Response"))),"No Data")</f>
        <v>Sales Missing</v>
      </c>
    </row>
    <row r="78" spans="2:10" x14ac:dyDescent="0.25">
      <c r="B78" s="17">
        <v>1073</v>
      </c>
      <c r="C78" s="4">
        <v>45730</v>
      </c>
      <c r="D78" s="3" t="s">
        <v>33</v>
      </c>
      <c r="E78" s="3" t="s">
        <v>19</v>
      </c>
      <c r="F78" s="11">
        <v>21000</v>
      </c>
      <c r="G78" s="14">
        <v>2</v>
      </c>
      <c r="H78" s="3" t="s">
        <v>20</v>
      </c>
      <c r="I78" s="3" t="s">
        <v>31</v>
      </c>
      <c r="J78" s="3" t="str">
        <f>IFERROR(IF(AND(Table1[[#This Row],[Sales]]=0,Table1[[#This Row],[Quantity]]&lt;&gt;0),"Sales Missing",IF(AND(Table1[[#This Row],[Sales]]&lt;&gt;0,Table1[[#This Row],[Quantity]]=0),"Quantity Missing",IF(AND(Table1[[#This Row],[Sales]]=0,Table1[[#This Row],[Quantity]]=0),"Both Missing","Valid Response"))),"No Data")</f>
        <v>Valid Response</v>
      </c>
    </row>
    <row r="79" spans="2:10" x14ac:dyDescent="0.25">
      <c r="B79" s="17">
        <v>1074</v>
      </c>
      <c r="C79" s="4">
        <v>45731</v>
      </c>
      <c r="D79" s="3" t="s">
        <v>23</v>
      </c>
      <c r="E79" s="3" t="s">
        <v>10</v>
      </c>
      <c r="F79" s="11">
        <v>55000</v>
      </c>
      <c r="G79" s="14">
        <v>0</v>
      </c>
      <c r="H79" s="3" t="s">
        <v>46</v>
      </c>
      <c r="I79" s="3" t="s">
        <v>29</v>
      </c>
      <c r="J79" s="3" t="str">
        <f>IFERROR(IF(AND(Table1[[#This Row],[Sales]]=0,Table1[[#This Row],[Quantity]]&lt;&gt;0),"Sales Missing",IF(AND(Table1[[#This Row],[Sales]]&lt;&gt;0,Table1[[#This Row],[Quantity]]=0),"Quantity Missing",IF(AND(Table1[[#This Row],[Sales]]=0,Table1[[#This Row],[Quantity]]=0),"Both Missing","Valid Response"))),"No Data")</f>
        <v>Quantity Missing</v>
      </c>
    </row>
    <row r="80" spans="2:10" x14ac:dyDescent="0.25">
      <c r="B80" s="17">
        <v>1075</v>
      </c>
      <c r="C80" s="4">
        <v>45732</v>
      </c>
      <c r="D80" s="3" t="s">
        <v>23</v>
      </c>
      <c r="E80" s="3" t="s">
        <v>27</v>
      </c>
      <c r="F80" s="11">
        <v>21000</v>
      </c>
      <c r="G80" s="14">
        <v>1</v>
      </c>
      <c r="H80" s="3" t="s">
        <v>34</v>
      </c>
      <c r="I80" s="3" t="s">
        <v>29</v>
      </c>
      <c r="J80" s="3" t="str">
        <f>IFERROR(IF(AND(Table1[[#This Row],[Sales]]=0,Table1[[#This Row],[Quantity]]&lt;&gt;0),"Sales Missing",IF(AND(Table1[[#This Row],[Sales]]&lt;&gt;0,Table1[[#This Row],[Quantity]]=0),"Quantity Missing",IF(AND(Table1[[#This Row],[Sales]]=0,Table1[[#This Row],[Quantity]]=0),"Both Missing","Valid Response"))),"No Data")</f>
        <v>Valid Response</v>
      </c>
    </row>
    <row r="81" spans="2:10" x14ac:dyDescent="0.25">
      <c r="B81" s="17">
        <v>1076</v>
      </c>
      <c r="C81" s="4">
        <v>45733</v>
      </c>
      <c r="D81" s="3" t="s">
        <v>33</v>
      </c>
      <c r="E81" s="3" t="s">
        <v>27</v>
      </c>
      <c r="F81" s="11">
        <v>55000</v>
      </c>
      <c r="G81" s="14">
        <v>0</v>
      </c>
      <c r="H81" s="3" t="s">
        <v>11</v>
      </c>
      <c r="I81" s="3" t="s">
        <v>21</v>
      </c>
      <c r="J81" s="3" t="str">
        <f>IFERROR(IF(AND(Table1[[#This Row],[Sales]]=0,Table1[[#This Row],[Quantity]]&lt;&gt;0),"Sales Missing",IF(AND(Table1[[#This Row],[Sales]]&lt;&gt;0,Table1[[#This Row],[Quantity]]=0),"Quantity Missing",IF(AND(Table1[[#This Row],[Sales]]=0,Table1[[#This Row],[Quantity]]=0),"Both Missing","Valid Response"))),"No Data")</f>
        <v>Quantity Missing</v>
      </c>
    </row>
    <row r="82" spans="2:10" x14ac:dyDescent="0.25">
      <c r="B82" s="17">
        <v>1077</v>
      </c>
      <c r="C82" s="4">
        <v>45734</v>
      </c>
      <c r="D82" s="3" t="s">
        <v>33</v>
      </c>
      <c r="E82" s="3" t="s">
        <v>27</v>
      </c>
      <c r="F82" s="11">
        <v>21000</v>
      </c>
      <c r="G82" s="14">
        <v>3</v>
      </c>
      <c r="H82" s="3" t="s">
        <v>34</v>
      </c>
      <c r="I82" s="3" t="s">
        <v>31</v>
      </c>
      <c r="J82" s="3" t="str">
        <f>IFERROR(IF(AND(Table1[[#This Row],[Sales]]=0,Table1[[#This Row],[Quantity]]&lt;&gt;0),"Sales Missing",IF(AND(Table1[[#This Row],[Sales]]&lt;&gt;0,Table1[[#This Row],[Quantity]]=0),"Quantity Missing",IF(AND(Table1[[#This Row],[Sales]]=0,Table1[[#This Row],[Quantity]]=0),"Both Missing","Valid Response"))),"No Data")</f>
        <v>Valid Response</v>
      </c>
    </row>
    <row r="83" spans="2:10" x14ac:dyDescent="0.25">
      <c r="B83" s="17">
        <v>1078</v>
      </c>
      <c r="C83" s="4">
        <v>45735</v>
      </c>
      <c r="D83" s="3" t="s">
        <v>33</v>
      </c>
      <c r="E83" s="3" t="s">
        <v>27</v>
      </c>
      <c r="F83" s="11">
        <v>52000</v>
      </c>
      <c r="G83" s="14">
        <v>3</v>
      </c>
      <c r="H83" s="3" t="s">
        <v>20</v>
      </c>
      <c r="I83" s="3" t="s">
        <v>31</v>
      </c>
      <c r="J83" s="3" t="str">
        <f>IFERROR(IF(AND(Table1[[#This Row],[Sales]]=0,Table1[[#This Row],[Quantity]]&lt;&gt;0),"Sales Missing",IF(AND(Table1[[#This Row],[Sales]]&lt;&gt;0,Table1[[#This Row],[Quantity]]=0),"Quantity Missing",IF(AND(Table1[[#This Row],[Sales]]=0,Table1[[#This Row],[Quantity]]=0),"Both Missing","Valid Response"))),"No Data")</f>
        <v>Valid Response</v>
      </c>
    </row>
    <row r="84" spans="2:10" x14ac:dyDescent="0.25">
      <c r="B84" s="17">
        <v>1079</v>
      </c>
      <c r="C84" s="4">
        <v>45736</v>
      </c>
      <c r="D84" s="3" t="s">
        <v>315</v>
      </c>
      <c r="E84" s="3" t="s">
        <v>19</v>
      </c>
      <c r="F84" s="11">
        <v>21000</v>
      </c>
      <c r="G84" s="14">
        <v>0</v>
      </c>
      <c r="H84" s="3" t="s">
        <v>20</v>
      </c>
      <c r="I84" s="3" t="s">
        <v>21</v>
      </c>
      <c r="J84" s="3" t="str">
        <f>IFERROR(IF(AND(Table1[[#This Row],[Sales]]=0,Table1[[#This Row],[Quantity]]&lt;&gt;0),"Sales Missing",IF(AND(Table1[[#This Row],[Sales]]&lt;&gt;0,Table1[[#This Row],[Quantity]]=0),"Quantity Missing",IF(AND(Table1[[#This Row],[Sales]]=0,Table1[[#This Row],[Quantity]]=0),"Both Missing","Valid Response"))),"No Data")</f>
        <v>Quantity Missing</v>
      </c>
    </row>
    <row r="85" spans="2:10" x14ac:dyDescent="0.25">
      <c r="B85" s="17">
        <v>1080</v>
      </c>
      <c r="C85" s="4">
        <v>45737</v>
      </c>
      <c r="D85" s="3" t="s">
        <v>33</v>
      </c>
      <c r="E85" s="3" t="s">
        <v>27</v>
      </c>
      <c r="F85" s="11">
        <v>55000</v>
      </c>
      <c r="G85" s="14">
        <v>1</v>
      </c>
      <c r="H85" s="3" t="s">
        <v>28</v>
      </c>
      <c r="I85" s="3" t="s">
        <v>29</v>
      </c>
      <c r="J85" s="3" t="str">
        <f>IFERROR(IF(AND(Table1[[#This Row],[Sales]]=0,Table1[[#This Row],[Quantity]]&lt;&gt;0),"Sales Missing",IF(AND(Table1[[#This Row],[Sales]]&lt;&gt;0,Table1[[#This Row],[Quantity]]=0),"Quantity Missing",IF(AND(Table1[[#This Row],[Sales]]=0,Table1[[#This Row],[Quantity]]=0),"Both Missing","Valid Response"))),"No Data")</f>
        <v>Valid Response</v>
      </c>
    </row>
    <row r="86" spans="2:10" x14ac:dyDescent="0.25">
      <c r="B86" s="17">
        <v>1081</v>
      </c>
      <c r="C86" s="4">
        <v>45738</v>
      </c>
      <c r="D86" s="3" t="s">
        <v>23</v>
      </c>
      <c r="E86" s="3" t="s">
        <v>19</v>
      </c>
      <c r="F86" s="11">
        <v>53000</v>
      </c>
      <c r="G86" s="14">
        <v>3</v>
      </c>
      <c r="H86" s="3" t="s">
        <v>28</v>
      </c>
      <c r="I86" s="3" t="s">
        <v>21</v>
      </c>
      <c r="J86" s="3" t="str">
        <f>IFERROR(IF(AND(Table1[[#This Row],[Sales]]=0,Table1[[#This Row],[Quantity]]&lt;&gt;0),"Sales Missing",IF(AND(Table1[[#This Row],[Sales]]&lt;&gt;0,Table1[[#This Row],[Quantity]]=0),"Quantity Missing",IF(AND(Table1[[#This Row],[Sales]]=0,Table1[[#This Row],[Quantity]]=0),"Both Missing","Valid Response"))),"No Data")</f>
        <v>Valid Response</v>
      </c>
    </row>
    <row r="87" spans="2:10" x14ac:dyDescent="0.25">
      <c r="B87" s="17">
        <v>1082</v>
      </c>
      <c r="C87" s="4">
        <v>45739</v>
      </c>
      <c r="D87" s="3" t="s">
        <v>314</v>
      </c>
      <c r="E87" s="3" t="s">
        <v>19</v>
      </c>
      <c r="F87" s="11">
        <v>21000</v>
      </c>
      <c r="G87" s="14">
        <v>2</v>
      </c>
      <c r="H87" s="3" t="s">
        <v>11</v>
      </c>
      <c r="I87" s="3" t="s">
        <v>29</v>
      </c>
      <c r="J87" s="3" t="str">
        <f>IFERROR(IF(AND(Table1[[#This Row],[Sales]]=0,Table1[[#This Row],[Quantity]]&lt;&gt;0),"Sales Missing",IF(AND(Table1[[#This Row],[Sales]]&lt;&gt;0,Table1[[#This Row],[Quantity]]=0),"Quantity Missing",IF(AND(Table1[[#This Row],[Sales]]=0,Table1[[#This Row],[Quantity]]=0),"Both Missing","Valid Response"))),"No Data")</f>
        <v>Valid Response</v>
      </c>
    </row>
    <row r="88" spans="2:10" x14ac:dyDescent="0.25">
      <c r="B88" s="17">
        <v>1083</v>
      </c>
      <c r="C88" s="4">
        <v>45740</v>
      </c>
      <c r="D88" s="3" t="s">
        <v>23</v>
      </c>
      <c r="E88" s="3" t="s">
        <v>27</v>
      </c>
      <c r="F88" s="11">
        <v>53000</v>
      </c>
      <c r="G88" s="14">
        <v>0</v>
      </c>
      <c r="H88" s="3" t="s">
        <v>46</v>
      </c>
      <c r="I88" s="3" t="s">
        <v>31</v>
      </c>
      <c r="J88" s="3" t="str">
        <f>IFERROR(IF(AND(Table1[[#This Row],[Sales]]=0,Table1[[#This Row],[Quantity]]&lt;&gt;0),"Sales Missing",IF(AND(Table1[[#This Row],[Sales]]&lt;&gt;0,Table1[[#This Row],[Quantity]]=0),"Quantity Missing",IF(AND(Table1[[#This Row],[Sales]]=0,Table1[[#This Row],[Quantity]]=0),"Both Missing","Valid Response"))),"No Data")</f>
        <v>Quantity Missing</v>
      </c>
    </row>
    <row r="89" spans="2:10" x14ac:dyDescent="0.25">
      <c r="B89" s="17">
        <v>1084</v>
      </c>
      <c r="C89" s="4">
        <v>45741</v>
      </c>
      <c r="D89" s="3" t="s">
        <v>45</v>
      </c>
      <c r="E89" s="3" t="s">
        <v>19</v>
      </c>
      <c r="F89" s="11">
        <v>0</v>
      </c>
      <c r="G89" s="14">
        <v>0</v>
      </c>
      <c r="H89" s="3" t="s">
        <v>34</v>
      </c>
      <c r="I89" s="3" t="s">
        <v>53</v>
      </c>
      <c r="J89" s="3" t="str">
        <f>IFERROR(IF(AND(Table1[[#This Row],[Sales]]=0,Table1[[#This Row],[Quantity]]&lt;&gt;0),"Sales Missing",IF(AND(Table1[[#This Row],[Sales]]&lt;&gt;0,Table1[[#This Row],[Quantity]]=0),"Quantity Missing",IF(AND(Table1[[#This Row],[Sales]]=0,Table1[[#This Row],[Quantity]]=0),"Both Missing","Valid Response"))),"No Data")</f>
        <v>Both Missing</v>
      </c>
    </row>
    <row r="90" spans="2:10" x14ac:dyDescent="0.25">
      <c r="B90" s="17">
        <v>1085</v>
      </c>
      <c r="C90" s="4">
        <v>45742</v>
      </c>
      <c r="D90" s="3" t="s">
        <v>33</v>
      </c>
      <c r="E90" s="3" t="s">
        <v>19</v>
      </c>
      <c r="F90" s="11">
        <v>55000</v>
      </c>
      <c r="G90" s="14">
        <v>2</v>
      </c>
      <c r="H90" s="3" t="s">
        <v>24</v>
      </c>
      <c r="I90" s="3" t="s">
        <v>31</v>
      </c>
      <c r="J90" s="3" t="str">
        <f>IFERROR(IF(AND(Table1[[#This Row],[Sales]]=0,Table1[[#This Row],[Quantity]]&lt;&gt;0),"Sales Missing",IF(AND(Table1[[#This Row],[Sales]]&lt;&gt;0,Table1[[#This Row],[Quantity]]=0),"Quantity Missing",IF(AND(Table1[[#This Row],[Sales]]=0,Table1[[#This Row],[Quantity]]=0),"Both Missing","Valid Response"))),"No Data")</f>
        <v>Valid Response</v>
      </c>
    </row>
    <row r="91" spans="2:10" x14ac:dyDescent="0.25">
      <c r="B91" s="17">
        <v>1086</v>
      </c>
      <c r="C91" s="4">
        <v>45743</v>
      </c>
      <c r="D91" s="3" t="s">
        <v>33</v>
      </c>
      <c r="E91" s="3" t="s">
        <v>19</v>
      </c>
      <c r="F91" s="11">
        <v>21000</v>
      </c>
      <c r="G91" s="14">
        <v>3</v>
      </c>
      <c r="H91" s="3" t="s">
        <v>11</v>
      </c>
      <c r="I91" s="3" t="s">
        <v>21</v>
      </c>
      <c r="J91" s="3" t="str">
        <f>IFERROR(IF(AND(Table1[[#This Row],[Sales]]=0,Table1[[#This Row],[Quantity]]&lt;&gt;0),"Sales Missing",IF(AND(Table1[[#This Row],[Sales]]&lt;&gt;0,Table1[[#This Row],[Quantity]]=0),"Quantity Missing",IF(AND(Table1[[#This Row],[Sales]]=0,Table1[[#This Row],[Quantity]]=0),"Both Missing","Valid Response"))),"No Data")</f>
        <v>Valid Response</v>
      </c>
    </row>
    <row r="92" spans="2:10" x14ac:dyDescent="0.25">
      <c r="B92" s="17">
        <v>1087</v>
      </c>
      <c r="C92" s="4">
        <v>45744</v>
      </c>
      <c r="D92" s="3" t="s">
        <v>33</v>
      </c>
      <c r="E92" s="3" t="s">
        <v>10</v>
      </c>
      <c r="F92" s="11">
        <v>55000</v>
      </c>
      <c r="G92" s="14">
        <v>3</v>
      </c>
      <c r="H92" s="3" t="s">
        <v>24</v>
      </c>
      <c r="I92" s="3" t="s">
        <v>53</v>
      </c>
      <c r="J92" s="3" t="str">
        <f>IFERROR(IF(AND(Table1[[#This Row],[Sales]]=0,Table1[[#This Row],[Quantity]]&lt;&gt;0),"Sales Missing",IF(AND(Table1[[#This Row],[Sales]]&lt;&gt;0,Table1[[#This Row],[Quantity]]=0),"Quantity Missing",IF(AND(Table1[[#This Row],[Sales]]=0,Table1[[#This Row],[Quantity]]=0),"Both Missing","Valid Response"))),"No Data")</f>
        <v>Valid Response</v>
      </c>
    </row>
    <row r="93" spans="2:10" x14ac:dyDescent="0.25">
      <c r="B93" s="17">
        <v>1088</v>
      </c>
      <c r="C93" s="4">
        <v>45745</v>
      </c>
      <c r="D93" s="3" t="s">
        <v>45</v>
      </c>
      <c r="E93" s="3" t="s">
        <v>10</v>
      </c>
      <c r="F93" s="11">
        <v>53000</v>
      </c>
      <c r="G93" s="14">
        <v>3</v>
      </c>
      <c r="H93" s="3" t="s">
        <v>20</v>
      </c>
      <c r="I93" s="3" t="s">
        <v>21</v>
      </c>
      <c r="J93" s="3" t="str">
        <f>IFERROR(IF(AND(Table1[[#This Row],[Sales]]=0,Table1[[#This Row],[Quantity]]&lt;&gt;0),"Sales Missing",IF(AND(Table1[[#This Row],[Sales]]&lt;&gt;0,Table1[[#This Row],[Quantity]]=0),"Quantity Missing",IF(AND(Table1[[#This Row],[Sales]]=0,Table1[[#This Row],[Quantity]]=0),"Both Missing","Valid Response"))),"No Data")</f>
        <v>Valid Response</v>
      </c>
    </row>
    <row r="94" spans="2:10" x14ac:dyDescent="0.25">
      <c r="B94" s="17">
        <v>1089</v>
      </c>
      <c r="C94" s="4">
        <v>45746</v>
      </c>
      <c r="D94" s="3" t="s">
        <v>315</v>
      </c>
      <c r="E94" s="3" t="s">
        <v>10</v>
      </c>
      <c r="F94" s="11">
        <v>20000</v>
      </c>
      <c r="G94" s="14">
        <v>2</v>
      </c>
      <c r="H94" s="3" t="s">
        <v>46</v>
      </c>
      <c r="I94" s="3" t="s">
        <v>29</v>
      </c>
      <c r="J94" s="3" t="str">
        <f>IFERROR(IF(AND(Table1[[#This Row],[Sales]]=0,Table1[[#This Row],[Quantity]]&lt;&gt;0),"Sales Missing",IF(AND(Table1[[#This Row],[Sales]]&lt;&gt;0,Table1[[#This Row],[Quantity]]=0),"Quantity Missing",IF(AND(Table1[[#This Row],[Sales]]=0,Table1[[#This Row],[Quantity]]=0),"Both Missing","Valid Response"))),"No Data")</f>
        <v>Valid Response</v>
      </c>
    </row>
    <row r="95" spans="2:10" x14ac:dyDescent="0.25">
      <c r="B95" s="17">
        <v>1090</v>
      </c>
      <c r="C95" s="4">
        <v>45747</v>
      </c>
      <c r="D95" s="3" t="s">
        <v>33</v>
      </c>
      <c r="E95" s="3" t="s">
        <v>27</v>
      </c>
      <c r="F95" s="11">
        <v>0</v>
      </c>
      <c r="G95" s="14">
        <v>3</v>
      </c>
      <c r="H95" s="3" t="s">
        <v>28</v>
      </c>
      <c r="I95" s="3" t="s">
        <v>21</v>
      </c>
      <c r="J95" s="3" t="str">
        <f>IFERROR(IF(AND(Table1[[#This Row],[Sales]]=0,Table1[[#This Row],[Quantity]]&lt;&gt;0),"Sales Missing",IF(AND(Table1[[#This Row],[Sales]]&lt;&gt;0,Table1[[#This Row],[Quantity]]=0),"Quantity Missing",IF(AND(Table1[[#This Row],[Sales]]=0,Table1[[#This Row],[Quantity]]=0),"Both Missing","Valid Response"))),"No Data")</f>
        <v>Sales Missing</v>
      </c>
    </row>
    <row r="96" spans="2:10" x14ac:dyDescent="0.25">
      <c r="B96" s="17">
        <v>1091</v>
      </c>
      <c r="C96" s="4">
        <v>45748</v>
      </c>
      <c r="D96" s="3" t="s">
        <v>33</v>
      </c>
      <c r="E96" s="3" t="s">
        <v>27</v>
      </c>
      <c r="F96" s="11">
        <v>20000</v>
      </c>
      <c r="G96" s="14">
        <v>2</v>
      </c>
      <c r="H96" s="3" t="s">
        <v>38</v>
      </c>
      <c r="I96" s="3" t="s">
        <v>53</v>
      </c>
      <c r="J96" s="3" t="str">
        <f>IFERROR(IF(AND(Table1[[#This Row],[Sales]]=0,Table1[[#This Row],[Quantity]]&lt;&gt;0),"Sales Missing",IF(AND(Table1[[#This Row],[Sales]]&lt;&gt;0,Table1[[#This Row],[Quantity]]=0),"Quantity Missing",IF(AND(Table1[[#This Row],[Sales]]=0,Table1[[#This Row],[Quantity]]=0),"Both Missing","Valid Response"))),"No Data")</f>
        <v>Valid Response</v>
      </c>
    </row>
    <row r="97" spans="2:10" x14ac:dyDescent="0.25">
      <c r="B97" s="17">
        <v>1092</v>
      </c>
      <c r="C97" s="4">
        <v>45749</v>
      </c>
      <c r="D97" s="3" t="s">
        <v>33</v>
      </c>
      <c r="E97" s="3" t="s">
        <v>19</v>
      </c>
      <c r="F97" s="11">
        <v>21000</v>
      </c>
      <c r="G97" s="14">
        <v>2</v>
      </c>
      <c r="H97" s="3" t="s">
        <v>46</v>
      </c>
      <c r="I97" s="3" t="s">
        <v>21</v>
      </c>
      <c r="J97" s="3" t="str">
        <f>IFERROR(IF(AND(Table1[[#This Row],[Sales]]=0,Table1[[#This Row],[Quantity]]&lt;&gt;0),"Sales Missing",IF(AND(Table1[[#This Row],[Sales]]&lt;&gt;0,Table1[[#This Row],[Quantity]]=0),"Quantity Missing",IF(AND(Table1[[#This Row],[Sales]]=0,Table1[[#This Row],[Quantity]]=0),"Both Missing","Valid Response"))),"No Data")</f>
        <v>Valid Response</v>
      </c>
    </row>
    <row r="98" spans="2:10" x14ac:dyDescent="0.25">
      <c r="B98" s="17">
        <v>1093</v>
      </c>
      <c r="C98" s="4">
        <v>45750</v>
      </c>
      <c r="D98" s="3" t="s">
        <v>45</v>
      </c>
      <c r="E98" s="3" t="s">
        <v>19</v>
      </c>
      <c r="F98" s="11">
        <v>21000</v>
      </c>
      <c r="G98" s="14">
        <v>1</v>
      </c>
      <c r="H98" s="3" t="s">
        <v>34</v>
      </c>
      <c r="I98" s="3" t="s">
        <v>21</v>
      </c>
      <c r="J98" s="3" t="str">
        <f>IFERROR(IF(AND(Table1[[#This Row],[Sales]]=0,Table1[[#This Row],[Quantity]]&lt;&gt;0),"Sales Missing",IF(AND(Table1[[#This Row],[Sales]]&lt;&gt;0,Table1[[#This Row],[Quantity]]=0),"Quantity Missing",IF(AND(Table1[[#This Row],[Sales]]=0,Table1[[#This Row],[Quantity]]=0),"Both Missing","Valid Response"))),"No Data")</f>
        <v>Valid Response</v>
      </c>
    </row>
    <row r="99" spans="2:10" x14ac:dyDescent="0.25">
      <c r="B99" s="17">
        <v>1094</v>
      </c>
      <c r="C99" s="4">
        <v>45751</v>
      </c>
      <c r="D99" s="3" t="s">
        <v>33</v>
      </c>
      <c r="E99" s="3" t="s">
        <v>10</v>
      </c>
      <c r="F99" s="11">
        <v>55000</v>
      </c>
      <c r="G99" s="14">
        <v>0</v>
      </c>
      <c r="H99" s="3" t="s">
        <v>46</v>
      </c>
      <c r="I99" s="3" t="s">
        <v>21</v>
      </c>
      <c r="J99" s="3" t="str">
        <f>IFERROR(IF(AND(Table1[[#This Row],[Sales]]=0,Table1[[#This Row],[Quantity]]&lt;&gt;0),"Sales Missing",IF(AND(Table1[[#This Row],[Sales]]&lt;&gt;0,Table1[[#This Row],[Quantity]]=0),"Quantity Missing",IF(AND(Table1[[#This Row],[Sales]]=0,Table1[[#This Row],[Quantity]]=0),"Both Missing","Valid Response"))),"No Data")</f>
        <v>Quantity Missing</v>
      </c>
    </row>
    <row r="100" spans="2:10" x14ac:dyDescent="0.25">
      <c r="B100" s="17">
        <v>1095</v>
      </c>
      <c r="C100" s="4">
        <v>45752</v>
      </c>
      <c r="D100" s="3" t="s">
        <v>23</v>
      </c>
      <c r="E100" s="3" t="s">
        <v>27</v>
      </c>
      <c r="F100" s="11">
        <v>55000</v>
      </c>
      <c r="G100" s="14">
        <v>1</v>
      </c>
      <c r="H100" s="3" t="s">
        <v>28</v>
      </c>
      <c r="I100" s="3" t="s">
        <v>53</v>
      </c>
      <c r="J100" s="3" t="str">
        <f>IFERROR(IF(AND(Table1[[#This Row],[Sales]]=0,Table1[[#This Row],[Quantity]]&lt;&gt;0),"Sales Missing",IF(AND(Table1[[#This Row],[Sales]]&lt;&gt;0,Table1[[#This Row],[Quantity]]=0),"Quantity Missing",IF(AND(Table1[[#This Row],[Sales]]=0,Table1[[#This Row],[Quantity]]=0),"Both Missing","Valid Response"))),"No Data")</f>
        <v>Valid Response</v>
      </c>
    </row>
    <row r="101" spans="2:10" x14ac:dyDescent="0.25">
      <c r="B101" s="17">
        <v>1096</v>
      </c>
      <c r="C101" s="4">
        <v>45753</v>
      </c>
      <c r="D101" s="3" t="s">
        <v>45</v>
      </c>
      <c r="E101" s="3" t="s">
        <v>19</v>
      </c>
      <c r="F101" s="11">
        <v>15000</v>
      </c>
      <c r="G101" s="14">
        <v>1</v>
      </c>
      <c r="H101" s="3" t="s">
        <v>24</v>
      </c>
      <c r="I101" s="3" t="s">
        <v>21</v>
      </c>
      <c r="J101" s="3" t="str">
        <f>IFERROR(IF(AND(Table1[[#This Row],[Sales]]=0,Table1[[#This Row],[Quantity]]&lt;&gt;0),"Sales Missing",IF(AND(Table1[[#This Row],[Sales]]&lt;&gt;0,Table1[[#This Row],[Quantity]]=0),"Quantity Missing",IF(AND(Table1[[#This Row],[Sales]]=0,Table1[[#This Row],[Quantity]]=0),"Both Missing","Valid Response"))),"No Data")</f>
        <v>Valid Response</v>
      </c>
    </row>
    <row r="102" spans="2:10" x14ac:dyDescent="0.25">
      <c r="B102" s="17">
        <v>1097</v>
      </c>
      <c r="C102" s="4">
        <v>45754</v>
      </c>
      <c r="D102" s="3" t="s">
        <v>23</v>
      </c>
      <c r="E102" s="3" t="s">
        <v>19</v>
      </c>
      <c r="F102" s="11">
        <v>48000</v>
      </c>
      <c r="G102" s="14">
        <v>3</v>
      </c>
      <c r="H102" s="3" t="s">
        <v>28</v>
      </c>
      <c r="I102" s="3" t="s">
        <v>53</v>
      </c>
      <c r="J102" s="3" t="str">
        <f>IFERROR(IF(AND(Table1[[#This Row],[Sales]]=0,Table1[[#This Row],[Quantity]]&lt;&gt;0),"Sales Missing",IF(AND(Table1[[#This Row],[Sales]]&lt;&gt;0,Table1[[#This Row],[Quantity]]=0),"Quantity Missing",IF(AND(Table1[[#This Row],[Sales]]=0,Table1[[#This Row],[Quantity]]=0),"Both Missing","Valid Response"))),"No Data")</f>
        <v>Valid Response</v>
      </c>
    </row>
    <row r="103" spans="2:10" x14ac:dyDescent="0.25">
      <c r="B103" s="17">
        <v>1098</v>
      </c>
      <c r="C103" s="4">
        <v>45755</v>
      </c>
      <c r="D103" s="3" t="s">
        <v>314</v>
      </c>
      <c r="E103" s="3" t="s">
        <v>19</v>
      </c>
      <c r="F103" s="11">
        <v>15000</v>
      </c>
      <c r="G103" s="14">
        <v>1</v>
      </c>
      <c r="H103" s="3" t="s">
        <v>11</v>
      </c>
      <c r="I103" s="3" t="s">
        <v>53</v>
      </c>
      <c r="J103" s="3" t="str">
        <f>IFERROR(IF(AND(Table1[[#This Row],[Sales]]=0,Table1[[#This Row],[Quantity]]&lt;&gt;0),"Sales Missing",IF(AND(Table1[[#This Row],[Sales]]&lt;&gt;0,Table1[[#This Row],[Quantity]]=0),"Quantity Missing",IF(AND(Table1[[#This Row],[Sales]]=0,Table1[[#This Row],[Quantity]]=0),"Both Missing","Valid Response"))),"No Data")</f>
        <v>Valid Response</v>
      </c>
    </row>
    <row r="104" spans="2:10" x14ac:dyDescent="0.25">
      <c r="B104" s="17">
        <v>1099</v>
      </c>
      <c r="C104" s="4">
        <v>45756</v>
      </c>
      <c r="D104" s="3" t="s">
        <v>45</v>
      </c>
      <c r="E104" s="3" t="s">
        <v>27</v>
      </c>
      <c r="F104" s="11">
        <v>21000</v>
      </c>
      <c r="G104" s="14">
        <v>2</v>
      </c>
      <c r="H104" s="3" t="s">
        <v>11</v>
      </c>
      <c r="I104" s="3" t="s">
        <v>21</v>
      </c>
      <c r="J104" s="3" t="str">
        <f>IFERROR(IF(AND(Table1[[#This Row],[Sales]]=0,Table1[[#This Row],[Quantity]]&lt;&gt;0),"Sales Missing",IF(AND(Table1[[#This Row],[Sales]]&lt;&gt;0,Table1[[#This Row],[Quantity]]=0),"Quantity Missing",IF(AND(Table1[[#This Row],[Sales]]=0,Table1[[#This Row],[Quantity]]=0),"Both Missing","Valid Response"))),"No Data")</f>
        <v>Valid Response</v>
      </c>
    </row>
    <row r="105" spans="2:10" x14ac:dyDescent="0.25">
      <c r="B105" s="17">
        <v>1100</v>
      </c>
      <c r="C105" s="4">
        <v>45757</v>
      </c>
      <c r="D105" s="3" t="s">
        <v>23</v>
      </c>
      <c r="E105" s="3" t="s">
        <v>19</v>
      </c>
      <c r="F105" s="11">
        <v>55000</v>
      </c>
      <c r="G105" s="14">
        <v>3</v>
      </c>
      <c r="H105" s="3" t="s">
        <v>38</v>
      </c>
      <c r="I105" s="3" t="s">
        <v>29</v>
      </c>
      <c r="J105" s="3" t="str">
        <f>IFERROR(IF(AND(Table1[[#This Row],[Sales]]=0,Table1[[#This Row],[Quantity]]&lt;&gt;0),"Sales Missing",IF(AND(Table1[[#This Row],[Sales]]&lt;&gt;0,Table1[[#This Row],[Quantity]]=0),"Quantity Missing",IF(AND(Table1[[#This Row],[Sales]]=0,Table1[[#This Row],[Quantity]]=0),"Both Missing","Valid Response"))),"No Data")</f>
        <v>Valid Response</v>
      </c>
    </row>
    <row r="106" spans="2:10" x14ac:dyDescent="0.25">
      <c r="B106" s="17">
        <v>1101</v>
      </c>
      <c r="C106" s="4">
        <v>45758</v>
      </c>
      <c r="D106" s="3" t="s">
        <v>33</v>
      </c>
      <c r="E106" s="3" t="s">
        <v>27</v>
      </c>
      <c r="F106" s="11">
        <v>52000</v>
      </c>
      <c r="G106" s="14">
        <v>0</v>
      </c>
      <c r="H106" s="3" t="s">
        <v>38</v>
      </c>
      <c r="I106" s="3" t="s">
        <v>29</v>
      </c>
      <c r="J106" s="3" t="str">
        <f>IFERROR(IF(AND(Table1[[#This Row],[Sales]]=0,Table1[[#This Row],[Quantity]]&lt;&gt;0),"Sales Missing",IF(AND(Table1[[#This Row],[Sales]]&lt;&gt;0,Table1[[#This Row],[Quantity]]=0),"Quantity Missing",IF(AND(Table1[[#This Row],[Sales]]=0,Table1[[#This Row],[Quantity]]=0),"Both Missing","Valid Response"))),"No Data")</f>
        <v>Quantity Missing</v>
      </c>
    </row>
    <row r="107" spans="2:10" x14ac:dyDescent="0.25">
      <c r="B107" s="17">
        <v>1102</v>
      </c>
      <c r="C107" s="4">
        <v>45759</v>
      </c>
      <c r="D107" s="3" t="s">
        <v>23</v>
      </c>
      <c r="E107" s="3" t="s">
        <v>19</v>
      </c>
      <c r="F107" s="11">
        <v>52000</v>
      </c>
      <c r="G107" s="14">
        <v>0</v>
      </c>
      <c r="H107" s="3" t="s">
        <v>24</v>
      </c>
      <c r="I107" s="3" t="s">
        <v>21</v>
      </c>
      <c r="J107" s="3" t="str">
        <f>IFERROR(IF(AND(Table1[[#This Row],[Sales]]=0,Table1[[#This Row],[Quantity]]&lt;&gt;0),"Sales Missing",IF(AND(Table1[[#This Row],[Sales]]&lt;&gt;0,Table1[[#This Row],[Quantity]]=0),"Quantity Missing",IF(AND(Table1[[#This Row],[Sales]]=0,Table1[[#This Row],[Quantity]]=0),"Both Missing","Valid Response"))),"No Data")</f>
        <v>Quantity Missing</v>
      </c>
    </row>
    <row r="108" spans="2:10" x14ac:dyDescent="0.25">
      <c r="B108" s="17">
        <v>1103</v>
      </c>
      <c r="C108" s="4">
        <v>45760</v>
      </c>
      <c r="D108" s="3" t="s">
        <v>23</v>
      </c>
      <c r="E108" s="3" t="s">
        <v>10</v>
      </c>
      <c r="F108" s="11">
        <v>55000</v>
      </c>
      <c r="G108" s="14">
        <v>0</v>
      </c>
      <c r="H108" s="3" t="s">
        <v>11</v>
      </c>
      <c r="I108" s="3" t="s">
        <v>29</v>
      </c>
      <c r="J108" s="3" t="str">
        <f>IFERROR(IF(AND(Table1[[#This Row],[Sales]]=0,Table1[[#This Row],[Quantity]]&lt;&gt;0),"Sales Missing",IF(AND(Table1[[#This Row],[Sales]]&lt;&gt;0,Table1[[#This Row],[Quantity]]=0),"Quantity Missing",IF(AND(Table1[[#This Row],[Sales]]=0,Table1[[#This Row],[Quantity]]=0),"Both Missing","Valid Response"))),"No Data")</f>
        <v>Quantity Missing</v>
      </c>
    </row>
    <row r="109" spans="2:10" x14ac:dyDescent="0.25">
      <c r="B109" s="17">
        <v>1104</v>
      </c>
      <c r="C109" s="4">
        <v>45761</v>
      </c>
      <c r="D109" s="3" t="s">
        <v>315</v>
      </c>
      <c r="E109" s="3" t="s">
        <v>19</v>
      </c>
      <c r="F109" s="11">
        <v>48000</v>
      </c>
      <c r="G109" s="14">
        <v>3</v>
      </c>
      <c r="H109" s="3" t="s">
        <v>28</v>
      </c>
      <c r="I109" s="3" t="s">
        <v>21</v>
      </c>
      <c r="J109" s="3" t="str">
        <f>IFERROR(IF(AND(Table1[[#This Row],[Sales]]=0,Table1[[#This Row],[Quantity]]&lt;&gt;0),"Sales Missing",IF(AND(Table1[[#This Row],[Sales]]&lt;&gt;0,Table1[[#This Row],[Quantity]]=0),"Quantity Missing",IF(AND(Table1[[#This Row],[Sales]]=0,Table1[[#This Row],[Quantity]]=0),"Both Missing","Valid Response"))),"No Data")</f>
        <v>Valid Response</v>
      </c>
    </row>
    <row r="110" spans="2:10" x14ac:dyDescent="0.25">
      <c r="B110" s="17">
        <v>1105</v>
      </c>
      <c r="C110" s="4">
        <v>45762</v>
      </c>
      <c r="D110" s="3" t="s">
        <v>45</v>
      </c>
      <c r="E110" s="3" t="s">
        <v>10</v>
      </c>
      <c r="F110" s="11">
        <v>0</v>
      </c>
      <c r="G110" s="14">
        <v>0</v>
      </c>
      <c r="H110" s="3" t="s">
        <v>34</v>
      </c>
      <c r="I110" s="3" t="s">
        <v>21</v>
      </c>
      <c r="J110" s="3" t="str">
        <f>IFERROR(IF(AND(Table1[[#This Row],[Sales]]=0,Table1[[#This Row],[Quantity]]&lt;&gt;0),"Sales Missing",IF(AND(Table1[[#This Row],[Sales]]&lt;&gt;0,Table1[[#This Row],[Quantity]]=0),"Quantity Missing",IF(AND(Table1[[#This Row],[Sales]]=0,Table1[[#This Row],[Quantity]]=0),"Both Missing","Valid Response"))),"No Data")</f>
        <v>Both Missing</v>
      </c>
    </row>
    <row r="111" spans="2:10" x14ac:dyDescent="0.25">
      <c r="B111" s="17">
        <v>1106</v>
      </c>
      <c r="C111" s="4">
        <v>45763</v>
      </c>
      <c r="D111" s="3" t="s">
        <v>45</v>
      </c>
      <c r="E111" s="3" t="s">
        <v>27</v>
      </c>
      <c r="F111" s="11">
        <v>48000</v>
      </c>
      <c r="G111" s="14">
        <v>2</v>
      </c>
      <c r="H111" s="3" t="s">
        <v>20</v>
      </c>
      <c r="I111" s="3" t="s">
        <v>21</v>
      </c>
      <c r="J111" s="3" t="str">
        <f>IFERROR(IF(AND(Table1[[#This Row],[Sales]]=0,Table1[[#This Row],[Quantity]]&lt;&gt;0),"Sales Missing",IF(AND(Table1[[#This Row],[Sales]]&lt;&gt;0,Table1[[#This Row],[Quantity]]=0),"Quantity Missing",IF(AND(Table1[[#This Row],[Sales]]=0,Table1[[#This Row],[Quantity]]=0),"Both Missing","Valid Response"))),"No Data")</f>
        <v>Valid Response</v>
      </c>
    </row>
    <row r="112" spans="2:10" x14ac:dyDescent="0.25">
      <c r="B112" s="17">
        <v>1107</v>
      </c>
      <c r="C112" s="4">
        <v>45764</v>
      </c>
      <c r="D112" s="3" t="s">
        <v>23</v>
      </c>
      <c r="E112" s="3" t="s">
        <v>19</v>
      </c>
      <c r="F112" s="11">
        <v>52000</v>
      </c>
      <c r="G112" s="14">
        <v>1</v>
      </c>
      <c r="H112" s="3" t="s">
        <v>34</v>
      </c>
      <c r="I112" s="3" t="s">
        <v>53</v>
      </c>
      <c r="J112" s="3" t="str">
        <f>IFERROR(IF(AND(Table1[[#This Row],[Sales]]=0,Table1[[#This Row],[Quantity]]&lt;&gt;0),"Sales Missing",IF(AND(Table1[[#This Row],[Sales]]&lt;&gt;0,Table1[[#This Row],[Quantity]]=0),"Quantity Missing",IF(AND(Table1[[#This Row],[Sales]]=0,Table1[[#This Row],[Quantity]]=0),"Both Missing","Valid Response"))),"No Data")</f>
        <v>Valid Response</v>
      </c>
    </row>
    <row r="113" spans="2:10" x14ac:dyDescent="0.25">
      <c r="B113" s="17">
        <v>1108</v>
      </c>
      <c r="C113" s="4">
        <v>45765</v>
      </c>
      <c r="D113" s="3" t="s">
        <v>23</v>
      </c>
      <c r="E113" s="3" t="s">
        <v>19</v>
      </c>
      <c r="F113" s="11">
        <v>15000</v>
      </c>
      <c r="G113" s="14">
        <v>0</v>
      </c>
      <c r="H113" s="3" t="s">
        <v>20</v>
      </c>
      <c r="I113" s="3" t="s">
        <v>21</v>
      </c>
      <c r="J113" s="3" t="str">
        <f>IFERROR(IF(AND(Table1[[#This Row],[Sales]]=0,Table1[[#This Row],[Quantity]]&lt;&gt;0),"Sales Missing",IF(AND(Table1[[#This Row],[Sales]]&lt;&gt;0,Table1[[#This Row],[Quantity]]=0),"Quantity Missing",IF(AND(Table1[[#This Row],[Sales]]=0,Table1[[#This Row],[Quantity]]=0),"Both Missing","Valid Response"))),"No Data")</f>
        <v>Quantity Missing</v>
      </c>
    </row>
    <row r="114" spans="2:10" x14ac:dyDescent="0.25">
      <c r="B114" s="17">
        <v>1109</v>
      </c>
      <c r="C114" s="4">
        <v>45766</v>
      </c>
      <c r="D114" s="3" t="s">
        <v>45</v>
      </c>
      <c r="E114" s="3" t="s">
        <v>19</v>
      </c>
      <c r="F114" s="11">
        <v>15000</v>
      </c>
      <c r="G114" s="14">
        <v>1</v>
      </c>
      <c r="H114" s="3" t="s">
        <v>38</v>
      </c>
      <c r="I114" s="3" t="s">
        <v>31</v>
      </c>
      <c r="J114" s="3" t="str">
        <f>IFERROR(IF(AND(Table1[[#This Row],[Sales]]=0,Table1[[#This Row],[Quantity]]&lt;&gt;0),"Sales Missing",IF(AND(Table1[[#This Row],[Sales]]&lt;&gt;0,Table1[[#This Row],[Quantity]]=0),"Quantity Missing",IF(AND(Table1[[#This Row],[Sales]]=0,Table1[[#This Row],[Quantity]]=0),"Both Missing","Valid Response"))),"No Data")</f>
        <v>Valid Response</v>
      </c>
    </row>
    <row r="115" spans="2:10" x14ac:dyDescent="0.25">
      <c r="B115" s="17">
        <v>1110</v>
      </c>
      <c r="C115" s="4">
        <v>45767</v>
      </c>
      <c r="D115" s="3" t="s">
        <v>45</v>
      </c>
      <c r="E115" s="3" t="s">
        <v>10</v>
      </c>
      <c r="F115" s="11">
        <v>53000</v>
      </c>
      <c r="G115" s="14">
        <v>0</v>
      </c>
      <c r="H115" s="3" t="s">
        <v>28</v>
      </c>
      <c r="I115" s="3" t="s">
        <v>29</v>
      </c>
      <c r="J115" s="3" t="str">
        <f>IFERROR(IF(AND(Table1[[#This Row],[Sales]]=0,Table1[[#This Row],[Quantity]]&lt;&gt;0),"Sales Missing",IF(AND(Table1[[#This Row],[Sales]]&lt;&gt;0,Table1[[#This Row],[Quantity]]=0),"Quantity Missing",IF(AND(Table1[[#This Row],[Sales]]=0,Table1[[#This Row],[Quantity]]=0),"Both Missing","Valid Response"))),"No Data")</f>
        <v>Quantity Missing</v>
      </c>
    </row>
    <row r="116" spans="2:10" x14ac:dyDescent="0.25">
      <c r="B116" s="17">
        <v>1111</v>
      </c>
      <c r="C116" s="4">
        <v>45768</v>
      </c>
      <c r="D116" s="3" t="s">
        <v>315</v>
      </c>
      <c r="E116" s="3" t="s">
        <v>19</v>
      </c>
      <c r="F116" s="11">
        <v>55000</v>
      </c>
      <c r="G116" s="14">
        <v>1</v>
      </c>
      <c r="H116" s="3" t="s">
        <v>38</v>
      </c>
      <c r="I116" s="3" t="s">
        <v>29</v>
      </c>
      <c r="J116" s="3" t="str">
        <f>IFERROR(IF(AND(Table1[[#This Row],[Sales]]=0,Table1[[#This Row],[Quantity]]&lt;&gt;0),"Sales Missing",IF(AND(Table1[[#This Row],[Sales]]&lt;&gt;0,Table1[[#This Row],[Quantity]]=0),"Quantity Missing",IF(AND(Table1[[#This Row],[Sales]]=0,Table1[[#This Row],[Quantity]]=0),"Both Missing","Valid Response"))),"No Data")</f>
        <v>Valid Response</v>
      </c>
    </row>
    <row r="117" spans="2:10" x14ac:dyDescent="0.25">
      <c r="B117" s="17">
        <v>1112</v>
      </c>
      <c r="C117" s="4">
        <v>45769</v>
      </c>
      <c r="D117" s="3" t="s">
        <v>23</v>
      </c>
      <c r="E117" s="3" t="s">
        <v>19</v>
      </c>
      <c r="F117" s="11">
        <v>15000</v>
      </c>
      <c r="G117" s="14">
        <v>1</v>
      </c>
      <c r="H117" s="3" t="s">
        <v>38</v>
      </c>
      <c r="I117" s="3" t="s">
        <v>53</v>
      </c>
      <c r="J117" s="3" t="str">
        <f>IFERROR(IF(AND(Table1[[#This Row],[Sales]]=0,Table1[[#This Row],[Quantity]]&lt;&gt;0),"Sales Missing",IF(AND(Table1[[#This Row],[Sales]]&lt;&gt;0,Table1[[#This Row],[Quantity]]=0),"Quantity Missing",IF(AND(Table1[[#This Row],[Sales]]=0,Table1[[#This Row],[Quantity]]=0),"Both Missing","Valid Response"))),"No Data")</f>
        <v>Valid Response</v>
      </c>
    </row>
    <row r="118" spans="2:10" x14ac:dyDescent="0.25">
      <c r="B118" s="17">
        <v>1113</v>
      </c>
      <c r="C118" s="4">
        <v>45770</v>
      </c>
      <c r="D118" s="3" t="s">
        <v>314</v>
      </c>
      <c r="E118" s="3" t="s">
        <v>27</v>
      </c>
      <c r="F118" s="11">
        <v>20000</v>
      </c>
      <c r="G118" s="14">
        <v>2</v>
      </c>
      <c r="H118" s="3" t="s">
        <v>28</v>
      </c>
      <c r="I118" s="3" t="s">
        <v>29</v>
      </c>
      <c r="J118" s="3" t="str">
        <f>IFERROR(IF(AND(Table1[[#This Row],[Sales]]=0,Table1[[#This Row],[Quantity]]&lt;&gt;0),"Sales Missing",IF(AND(Table1[[#This Row],[Sales]]&lt;&gt;0,Table1[[#This Row],[Quantity]]=0),"Quantity Missing",IF(AND(Table1[[#This Row],[Sales]]=0,Table1[[#This Row],[Quantity]]=0),"Both Missing","Valid Response"))),"No Data")</f>
        <v>Valid Response</v>
      </c>
    </row>
    <row r="119" spans="2:10" x14ac:dyDescent="0.25">
      <c r="B119" s="17">
        <v>1114</v>
      </c>
      <c r="C119" s="4">
        <v>45771</v>
      </c>
      <c r="D119" s="3" t="s">
        <v>45</v>
      </c>
      <c r="E119" s="3" t="s">
        <v>27</v>
      </c>
      <c r="F119" s="11">
        <v>53000</v>
      </c>
      <c r="G119" s="14">
        <v>0</v>
      </c>
      <c r="H119" s="3" t="s">
        <v>11</v>
      </c>
      <c r="I119" s="3" t="s">
        <v>31</v>
      </c>
      <c r="J119" s="3" t="str">
        <f>IFERROR(IF(AND(Table1[[#This Row],[Sales]]=0,Table1[[#This Row],[Quantity]]&lt;&gt;0),"Sales Missing",IF(AND(Table1[[#This Row],[Sales]]&lt;&gt;0,Table1[[#This Row],[Quantity]]=0),"Quantity Missing",IF(AND(Table1[[#This Row],[Sales]]=0,Table1[[#This Row],[Quantity]]=0),"Both Missing","Valid Response"))),"No Data")</f>
        <v>Quantity Missing</v>
      </c>
    </row>
    <row r="120" spans="2:10" x14ac:dyDescent="0.25">
      <c r="B120" s="17">
        <v>1115</v>
      </c>
      <c r="C120" s="4">
        <v>45772</v>
      </c>
      <c r="D120" s="3" t="s">
        <v>315</v>
      </c>
      <c r="E120" s="3" t="s">
        <v>19</v>
      </c>
      <c r="F120" s="11">
        <v>0</v>
      </c>
      <c r="G120" s="14">
        <v>1</v>
      </c>
      <c r="H120" s="3" t="s">
        <v>11</v>
      </c>
      <c r="I120" s="3" t="s">
        <v>29</v>
      </c>
      <c r="J120" s="3" t="str">
        <f>IFERROR(IF(AND(Table1[[#This Row],[Sales]]=0,Table1[[#This Row],[Quantity]]&lt;&gt;0),"Sales Missing",IF(AND(Table1[[#This Row],[Sales]]&lt;&gt;0,Table1[[#This Row],[Quantity]]=0),"Quantity Missing",IF(AND(Table1[[#This Row],[Sales]]=0,Table1[[#This Row],[Quantity]]=0),"Both Missing","Valid Response"))),"No Data")</f>
        <v>Sales Missing</v>
      </c>
    </row>
    <row r="121" spans="2:10" x14ac:dyDescent="0.25">
      <c r="B121" s="17">
        <v>1116</v>
      </c>
      <c r="C121" s="4">
        <v>45773</v>
      </c>
      <c r="D121" s="3" t="s">
        <v>315</v>
      </c>
      <c r="E121" s="3" t="s">
        <v>19</v>
      </c>
      <c r="F121" s="11">
        <v>21000</v>
      </c>
      <c r="G121" s="14">
        <v>3</v>
      </c>
      <c r="H121" s="3" t="s">
        <v>34</v>
      </c>
      <c r="I121" s="3" t="s">
        <v>53</v>
      </c>
      <c r="J121" s="3" t="str">
        <f>IFERROR(IF(AND(Table1[[#This Row],[Sales]]=0,Table1[[#This Row],[Quantity]]&lt;&gt;0),"Sales Missing",IF(AND(Table1[[#This Row],[Sales]]&lt;&gt;0,Table1[[#This Row],[Quantity]]=0),"Quantity Missing",IF(AND(Table1[[#This Row],[Sales]]=0,Table1[[#This Row],[Quantity]]=0),"Both Missing","Valid Response"))),"No Data")</f>
        <v>Valid Response</v>
      </c>
    </row>
    <row r="122" spans="2:10" x14ac:dyDescent="0.25">
      <c r="B122" s="17">
        <v>1117</v>
      </c>
      <c r="C122" s="4">
        <v>45774</v>
      </c>
      <c r="D122" s="3" t="s">
        <v>23</v>
      </c>
      <c r="E122" s="3" t="s">
        <v>19</v>
      </c>
      <c r="F122" s="11">
        <v>0</v>
      </c>
      <c r="G122" s="14">
        <v>0</v>
      </c>
      <c r="H122" s="3" t="s">
        <v>24</v>
      </c>
      <c r="I122" s="3" t="s">
        <v>53</v>
      </c>
      <c r="J122" s="3" t="str">
        <f>IFERROR(IF(AND(Table1[[#This Row],[Sales]]=0,Table1[[#This Row],[Quantity]]&lt;&gt;0),"Sales Missing",IF(AND(Table1[[#This Row],[Sales]]&lt;&gt;0,Table1[[#This Row],[Quantity]]=0),"Quantity Missing",IF(AND(Table1[[#This Row],[Sales]]=0,Table1[[#This Row],[Quantity]]=0),"Both Missing","Valid Response"))),"No Data")</f>
        <v>Both Missing</v>
      </c>
    </row>
    <row r="123" spans="2:10" x14ac:dyDescent="0.25">
      <c r="B123" s="17">
        <v>1118</v>
      </c>
      <c r="C123" s="4">
        <v>45775</v>
      </c>
      <c r="D123" s="3" t="s">
        <v>33</v>
      </c>
      <c r="E123" s="3" t="s">
        <v>10</v>
      </c>
      <c r="F123" s="11">
        <v>20000</v>
      </c>
      <c r="G123" s="14">
        <v>0</v>
      </c>
      <c r="H123" s="3" t="s">
        <v>28</v>
      </c>
      <c r="I123" s="3" t="s">
        <v>21</v>
      </c>
      <c r="J123" s="3" t="str">
        <f>IFERROR(IF(AND(Table1[[#This Row],[Sales]]=0,Table1[[#This Row],[Quantity]]&lt;&gt;0),"Sales Missing",IF(AND(Table1[[#This Row],[Sales]]&lt;&gt;0,Table1[[#This Row],[Quantity]]=0),"Quantity Missing",IF(AND(Table1[[#This Row],[Sales]]=0,Table1[[#This Row],[Quantity]]=0),"Both Missing","Valid Response"))),"No Data")</f>
        <v>Quantity Missing</v>
      </c>
    </row>
    <row r="124" spans="2:10" x14ac:dyDescent="0.25">
      <c r="B124" s="17">
        <v>1119</v>
      </c>
      <c r="C124" s="4">
        <v>45776</v>
      </c>
      <c r="D124" s="3" t="s">
        <v>314</v>
      </c>
      <c r="E124" s="3" t="s">
        <v>19</v>
      </c>
      <c r="F124" s="11">
        <v>15000</v>
      </c>
      <c r="G124" s="14">
        <v>1</v>
      </c>
      <c r="H124" s="3" t="s">
        <v>24</v>
      </c>
      <c r="I124" s="3" t="s">
        <v>21</v>
      </c>
      <c r="J124" s="3" t="str">
        <f>IFERROR(IF(AND(Table1[[#This Row],[Sales]]=0,Table1[[#This Row],[Quantity]]&lt;&gt;0),"Sales Missing",IF(AND(Table1[[#This Row],[Sales]]&lt;&gt;0,Table1[[#This Row],[Quantity]]=0),"Quantity Missing",IF(AND(Table1[[#This Row],[Sales]]=0,Table1[[#This Row],[Quantity]]=0),"Both Missing","Valid Response"))),"No Data")</f>
        <v>Valid Response</v>
      </c>
    </row>
    <row r="125" spans="2:10" x14ac:dyDescent="0.25">
      <c r="B125" s="17">
        <v>1120</v>
      </c>
      <c r="C125" s="4">
        <v>45777</v>
      </c>
      <c r="D125" s="3" t="s">
        <v>45</v>
      </c>
      <c r="E125" s="3" t="s">
        <v>19</v>
      </c>
      <c r="F125" s="11">
        <v>15000</v>
      </c>
      <c r="G125" s="14">
        <v>2</v>
      </c>
      <c r="H125" s="3" t="s">
        <v>46</v>
      </c>
      <c r="I125" s="3" t="s">
        <v>53</v>
      </c>
      <c r="J125" s="3" t="str">
        <f>IFERROR(IF(AND(Table1[[#This Row],[Sales]]=0,Table1[[#This Row],[Quantity]]&lt;&gt;0),"Sales Missing",IF(AND(Table1[[#This Row],[Sales]]&lt;&gt;0,Table1[[#This Row],[Quantity]]=0),"Quantity Missing",IF(AND(Table1[[#This Row],[Sales]]=0,Table1[[#This Row],[Quantity]]=0),"Both Missing","Valid Response"))),"No Data")</f>
        <v>Valid Response</v>
      </c>
    </row>
    <row r="126" spans="2:10" x14ac:dyDescent="0.25">
      <c r="B126" s="17">
        <v>1121</v>
      </c>
      <c r="C126" s="4">
        <v>45658</v>
      </c>
      <c r="D126" s="3" t="s">
        <v>23</v>
      </c>
      <c r="E126" s="3" t="s">
        <v>10</v>
      </c>
      <c r="F126" s="11">
        <v>48000</v>
      </c>
      <c r="G126" s="14">
        <v>2</v>
      </c>
      <c r="H126" s="3" t="s">
        <v>20</v>
      </c>
      <c r="I126" s="3" t="s">
        <v>53</v>
      </c>
      <c r="J126" s="3" t="str">
        <f>IFERROR(IF(AND(Table1[[#This Row],[Sales]]=0,Table1[[#This Row],[Quantity]]&lt;&gt;0),"Sales Missing",IF(AND(Table1[[#This Row],[Sales]]&lt;&gt;0,Table1[[#This Row],[Quantity]]=0),"Quantity Missing",IF(AND(Table1[[#This Row],[Sales]]=0,Table1[[#This Row],[Quantity]]=0),"Both Missing","Valid Response"))),"No Data")</f>
        <v>Valid Response</v>
      </c>
    </row>
    <row r="127" spans="2:10" x14ac:dyDescent="0.25">
      <c r="B127" s="17">
        <v>1122</v>
      </c>
      <c r="C127" s="4">
        <v>45659</v>
      </c>
      <c r="D127" s="3" t="s">
        <v>33</v>
      </c>
      <c r="E127" s="3" t="s">
        <v>19</v>
      </c>
      <c r="F127" s="11">
        <v>21000</v>
      </c>
      <c r="G127" s="14">
        <v>1</v>
      </c>
      <c r="H127" s="3" t="s">
        <v>11</v>
      </c>
      <c r="I127" s="3" t="s">
        <v>31</v>
      </c>
      <c r="J127" s="3" t="str">
        <f>IFERROR(IF(AND(Table1[[#This Row],[Sales]]=0,Table1[[#This Row],[Quantity]]&lt;&gt;0),"Sales Missing",IF(AND(Table1[[#This Row],[Sales]]&lt;&gt;0,Table1[[#This Row],[Quantity]]=0),"Quantity Missing",IF(AND(Table1[[#This Row],[Sales]]=0,Table1[[#This Row],[Quantity]]=0),"Both Missing","Valid Response"))),"No Data")</f>
        <v>Valid Response</v>
      </c>
    </row>
    <row r="128" spans="2:10" x14ac:dyDescent="0.25">
      <c r="B128" s="17">
        <v>1123</v>
      </c>
      <c r="C128" s="4">
        <v>45660</v>
      </c>
      <c r="D128" s="3" t="s">
        <v>45</v>
      </c>
      <c r="E128" s="3" t="s">
        <v>10</v>
      </c>
      <c r="F128" s="11">
        <v>21000</v>
      </c>
      <c r="G128" s="14">
        <v>3</v>
      </c>
      <c r="H128" s="3" t="s">
        <v>34</v>
      </c>
      <c r="I128" s="3" t="s">
        <v>53</v>
      </c>
      <c r="J128" s="3" t="str">
        <f>IFERROR(IF(AND(Table1[[#This Row],[Sales]]=0,Table1[[#This Row],[Quantity]]&lt;&gt;0),"Sales Missing",IF(AND(Table1[[#This Row],[Sales]]&lt;&gt;0,Table1[[#This Row],[Quantity]]=0),"Quantity Missing",IF(AND(Table1[[#This Row],[Sales]]=0,Table1[[#This Row],[Quantity]]=0),"Both Missing","Valid Response"))),"No Data")</f>
        <v>Valid Response</v>
      </c>
    </row>
    <row r="129" spans="2:10" x14ac:dyDescent="0.25">
      <c r="B129" s="17">
        <v>1124</v>
      </c>
      <c r="C129" s="4">
        <v>45661</v>
      </c>
      <c r="D129" s="3" t="s">
        <v>315</v>
      </c>
      <c r="E129" s="3" t="s">
        <v>19</v>
      </c>
      <c r="F129" s="11">
        <v>48000</v>
      </c>
      <c r="G129" s="14">
        <v>2</v>
      </c>
      <c r="H129" s="3" t="s">
        <v>46</v>
      </c>
      <c r="I129" s="3" t="s">
        <v>29</v>
      </c>
      <c r="J129" s="3" t="str">
        <f>IFERROR(IF(AND(Table1[[#This Row],[Sales]]=0,Table1[[#This Row],[Quantity]]&lt;&gt;0),"Sales Missing",IF(AND(Table1[[#This Row],[Sales]]&lt;&gt;0,Table1[[#This Row],[Quantity]]=0),"Quantity Missing",IF(AND(Table1[[#This Row],[Sales]]=0,Table1[[#This Row],[Quantity]]=0),"Both Missing","Valid Response"))),"No Data")</f>
        <v>Valid Response</v>
      </c>
    </row>
    <row r="130" spans="2:10" x14ac:dyDescent="0.25">
      <c r="B130" s="17">
        <v>1125</v>
      </c>
      <c r="C130" s="4">
        <v>45662</v>
      </c>
      <c r="D130" s="3" t="s">
        <v>45</v>
      </c>
      <c r="E130" s="3" t="s">
        <v>19</v>
      </c>
      <c r="F130" s="11">
        <v>0</v>
      </c>
      <c r="G130" s="14">
        <v>2</v>
      </c>
      <c r="H130" s="3" t="s">
        <v>34</v>
      </c>
      <c r="I130" s="3" t="s">
        <v>21</v>
      </c>
      <c r="J130" s="3" t="str">
        <f>IFERROR(IF(AND(Table1[[#This Row],[Sales]]=0,Table1[[#This Row],[Quantity]]&lt;&gt;0),"Sales Missing",IF(AND(Table1[[#This Row],[Sales]]&lt;&gt;0,Table1[[#This Row],[Quantity]]=0),"Quantity Missing",IF(AND(Table1[[#This Row],[Sales]]=0,Table1[[#This Row],[Quantity]]=0),"Both Missing","Valid Response"))),"No Data")</f>
        <v>Sales Missing</v>
      </c>
    </row>
    <row r="131" spans="2:10" x14ac:dyDescent="0.25">
      <c r="B131" s="17">
        <v>1126</v>
      </c>
      <c r="C131" s="4">
        <v>45663</v>
      </c>
      <c r="D131" s="3" t="s">
        <v>33</v>
      </c>
      <c r="E131" s="3" t="s">
        <v>19</v>
      </c>
      <c r="F131" s="11">
        <v>48000</v>
      </c>
      <c r="G131" s="14">
        <v>3</v>
      </c>
      <c r="H131" s="3" t="s">
        <v>34</v>
      </c>
      <c r="I131" s="3" t="s">
        <v>31</v>
      </c>
      <c r="J131" s="3" t="str">
        <f>IFERROR(IF(AND(Table1[[#This Row],[Sales]]=0,Table1[[#This Row],[Quantity]]&lt;&gt;0),"Sales Missing",IF(AND(Table1[[#This Row],[Sales]]&lt;&gt;0,Table1[[#This Row],[Quantity]]=0),"Quantity Missing",IF(AND(Table1[[#This Row],[Sales]]=0,Table1[[#This Row],[Quantity]]=0),"Both Missing","Valid Response"))),"No Data")</f>
        <v>Valid Response</v>
      </c>
    </row>
    <row r="132" spans="2:10" x14ac:dyDescent="0.25">
      <c r="B132" s="17">
        <v>1127</v>
      </c>
      <c r="C132" s="4">
        <v>45664</v>
      </c>
      <c r="D132" s="3" t="s">
        <v>314</v>
      </c>
      <c r="E132" s="3" t="s">
        <v>27</v>
      </c>
      <c r="F132" s="11">
        <v>52000</v>
      </c>
      <c r="G132" s="14">
        <v>1</v>
      </c>
      <c r="H132" s="3" t="s">
        <v>46</v>
      </c>
      <c r="I132" s="3" t="s">
        <v>53</v>
      </c>
      <c r="J132" s="3" t="str">
        <f>IFERROR(IF(AND(Table1[[#This Row],[Sales]]=0,Table1[[#This Row],[Quantity]]&lt;&gt;0),"Sales Missing",IF(AND(Table1[[#This Row],[Sales]]&lt;&gt;0,Table1[[#This Row],[Quantity]]=0),"Quantity Missing",IF(AND(Table1[[#This Row],[Sales]]=0,Table1[[#This Row],[Quantity]]=0),"Both Missing","Valid Response"))),"No Data")</f>
        <v>Valid Response</v>
      </c>
    </row>
    <row r="133" spans="2:10" x14ac:dyDescent="0.25">
      <c r="B133" s="17">
        <v>1128</v>
      </c>
      <c r="C133" s="4">
        <v>45665</v>
      </c>
      <c r="D133" s="3" t="s">
        <v>33</v>
      </c>
      <c r="E133" s="3" t="s">
        <v>19</v>
      </c>
      <c r="F133" s="11">
        <v>15000</v>
      </c>
      <c r="G133" s="14">
        <v>3</v>
      </c>
      <c r="H133" s="3" t="s">
        <v>11</v>
      </c>
      <c r="I133" s="3" t="s">
        <v>53</v>
      </c>
      <c r="J133" s="3" t="str">
        <f>IFERROR(IF(AND(Table1[[#This Row],[Sales]]=0,Table1[[#This Row],[Quantity]]&lt;&gt;0),"Sales Missing",IF(AND(Table1[[#This Row],[Sales]]&lt;&gt;0,Table1[[#This Row],[Quantity]]=0),"Quantity Missing",IF(AND(Table1[[#This Row],[Sales]]=0,Table1[[#This Row],[Quantity]]=0),"Both Missing","Valid Response"))),"No Data")</f>
        <v>Valid Response</v>
      </c>
    </row>
    <row r="134" spans="2:10" x14ac:dyDescent="0.25">
      <c r="B134" s="17">
        <v>1129</v>
      </c>
      <c r="C134" s="4">
        <v>45666</v>
      </c>
      <c r="D134" s="3" t="s">
        <v>33</v>
      </c>
      <c r="E134" s="3" t="s">
        <v>19</v>
      </c>
      <c r="F134" s="11">
        <v>52000</v>
      </c>
      <c r="G134" s="14">
        <v>1</v>
      </c>
      <c r="H134" s="3" t="s">
        <v>28</v>
      </c>
      <c r="I134" s="3" t="s">
        <v>21</v>
      </c>
      <c r="J134" s="3" t="str">
        <f>IFERROR(IF(AND(Table1[[#This Row],[Sales]]=0,Table1[[#This Row],[Quantity]]&lt;&gt;0),"Sales Missing",IF(AND(Table1[[#This Row],[Sales]]&lt;&gt;0,Table1[[#This Row],[Quantity]]=0),"Quantity Missing",IF(AND(Table1[[#This Row],[Sales]]=0,Table1[[#This Row],[Quantity]]=0),"Both Missing","Valid Response"))),"No Data")</f>
        <v>Valid Response</v>
      </c>
    </row>
    <row r="135" spans="2:10" x14ac:dyDescent="0.25">
      <c r="B135" s="17">
        <v>1130</v>
      </c>
      <c r="C135" s="4">
        <v>45667</v>
      </c>
      <c r="D135" s="3" t="s">
        <v>314</v>
      </c>
      <c r="E135" s="3" t="s">
        <v>19</v>
      </c>
      <c r="F135" s="11">
        <v>55000</v>
      </c>
      <c r="G135" s="14">
        <v>3</v>
      </c>
      <c r="H135" s="3" t="s">
        <v>38</v>
      </c>
      <c r="I135" s="3" t="s">
        <v>53</v>
      </c>
      <c r="J135" s="3" t="str">
        <f>IFERROR(IF(AND(Table1[[#This Row],[Sales]]=0,Table1[[#This Row],[Quantity]]&lt;&gt;0),"Sales Missing",IF(AND(Table1[[#This Row],[Sales]]&lt;&gt;0,Table1[[#This Row],[Quantity]]=0),"Quantity Missing",IF(AND(Table1[[#This Row],[Sales]]=0,Table1[[#This Row],[Quantity]]=0),"Both Missing","Valid Response"))),"No Data")</f>
        <v>Valid Response</v>
      </c>
    </row>
    <row r="136" spans="2:10" x14ac:dyDescent="0.25">
      <c r="B136" s="17">
        <v>1131</v>
      </c>
      <c r="C136" s="4">
        <v>45668</v>
      </c>
      <c r="D136" s="3" t="s">
        <v>33</v>
      </c>
      <c r="E136" s="3" t="s">
        <v>27</v>
      </c>
      <c r="F136" s="11">
        <v>48000</v>
      </c>
      <c r="G136" s="14">
        <v>2</v>
      </c>
      <c r="H136" s="3" t="s">
        <v>46</v>
      </c>
      <c r="I136" s="3" t="s">
        <v>53</v>
      </c>
      <c r="J136" s="3" t="str">
        <f>IFERROR(IF(AND(Table1[[#This Row],[Sales]]=0,Table1[[#This Row],[Quantity]]&lt;&gt;0),"Sales Missing",IF(AND(Table1[[#This Row],[Sales]]&lt;&gt;0,Table1[[#This Row],[Quantity]]=0),"Quantity Missing",IF(AND(Table1[[#This Row],[Sales]]=0,Table1[[#This Row],[Quantity]]=0),"Both Missing","Valid Response"))),"No Data")</f>
        <v>Valid Response</v>
      </c>
    </row>
    <row r="137" spans="2:10" x14ac:dyDescent="0.25">
      <c r="B137" s="17">
        <v>1132</v>
      </c>
      <c r="C137" s="4">
        <v>45669</v>
      </c>
      <c r="D137" s="3" t="s">
        <v>33</v>
      </c>
      <c r="E137" s="3" t="s">
        <v>10</v>
      </c>
      <c r="F137" s="11">
        <v>55000</v>
      </c>
      <c r="G137" s="14">
        <v>0</v>
      </c>
      <c r="H137" s="3" t="s">
        <v>11</v>
      </c>
      <c r="I137" s="3" t="s">
        <v>29</v>
      </c>
      <c r="J137" s="3" t="str">
        <f>IFERROR(IF(AND(Table1[[#This Row],[Sales]]=0,Table1[[#This Row],[Quantity]]&lt;&gt;0),"Sales Missing",IF(AND(Table1[[#This Row],[Sales]]&lt;&gt;0,Table1[[#This Row],[Quantity]]=0),"Quantity Missing",IF(AND(Table1[[#This Row],[Sales]]=0,Table1[[#This Row],[Quantity]]=0),"Both Missing","Valid Response"))),"No Data")</f>
        <v>Quantity Missing</v>
      </c>
    </row>
    <row r="138" spans="2:10" x14ac:dyDescent="0.25">
      <c r="B138" s="17">
        <v>1133</v>
      </c>
      <c r="C138" s="4">
        <v>45670</v>
      </c>
      <c r="D138" s="3" t="s">
        <v>45</v>
      </c>
      <c r="E138" s="3" t="s">
        <v>19</v>
      </c>
      <c r="F138" s="11">
        <v>15000</v>
      </c>
      <c r="G138" s="14">
        <v>1</v>
      </c>
      <c r="H138" s="3" t="s">
        <v>46</v>
      </c>
      <c r="I138" s="3" t="s">
        <v>21</v>
      </c>
      <c r="J138" s="3" t="str">
        <f>IFERROR(IF(AND(Table1[[#This Row],[Sales]]=0,Table1[[#This Row],[Quantity]]&lt;&gt;0),"Sales Missing",IF(AND(Table1[[#This Row],[Sales]]&lt;&gt;0,Table1[[#This Row],[Quantity]]=0),"Quantity Missing",IF(AND(Table1[[#This Row],[Sales]]=0,Table1[[#This Row],[Quantity]]=0),"Both Missing","Valid Response"))),"No Data")</f>
        <v>Valid Response</v>
      </c>
    </row>
    <row r="139" spans="2:10" x14ac:dyDescent="0.25">
      <c r="B139" s="17">
        <v>1134</v>
      </c>
      <c r="C139" s="4">
        <v>45671</v>
      </c>
      <c r="D139" s="3" t="s">
        <v>23</v>
      </c>
      <c r="E139" s="3" t="s">
        <v>27</v>
      </c>
      <c r="F139" s="11">
        <v>48000</v>
      </c>
      <c r="G139" s="14">
        <v>1</v>
      </c>
      <c r="H139" s="3" t="s">
        <v>15</v>
      </c>
      <c r="I139" s="3" t="s">
        <v>29</v>
      </c>
      <c r="J139" s="3" t="str">
        <f>IFERROR(IF(AND(Table1[[#This Row],[Sales]]=0,Table1[[#This Row],[Quantity]]&lt;&gt;0),"Sales Missing",IF(AND(Table1[[#This Row],[Sales]]&lt;&gt;0,Table1[[#This Row],[Quantity]]=0),"Quantity Missing",IF(AND(Table1[[#This Row],[Sales]]=0,Table1[[#This Row],[Quantity]]=0),"Both Missing","Valid Response"))),"No Data")</f>
        <v>Valid Response</v>
      </c>
    </row>
    <row r="140" spans="2:10" x14ac:dyDescent="0.25">
      <c r="B140" s="17">
        <v>1135</v>
      </c>
      <c r="C140" s="4">
        <v>45672</v>
      </c>
      <c r="D140" s="3" t="s">
        <v>33</v>
      </c>
      <c r="E140" s="3" t="s">
        <v>19</v>
      </c>
      <c r="F140" s="11">
        <v>52000</v>
      </c>
      <c r="G140" s="14">
        <v>2</v>
      </c>
      <c r="H140" s="3" t="s">
        <v>15</v>
      </c>
      <c r="I140" s="3" t="s">
        <v>21</v>
      </c>
      <c r="J140" s="3" t="str">
        <f>IFERROR(IF(AND(Table1[[#This Row],[Sales]]=0,Table1[[#This Row],[Quantity]]&lt;&gt;0),"Sales Missing",IF(AND(Table1[[#This Row],[Sales]]&lt;&gt;0,Table1[[#This Row],[Quantity]]=0),"Quantity Missing",IF(AND(Table1[[#This Row],[Sales]]=0,Table1[[#This Row],[Quantity]]=0),"Both Missing","Valid Response"))),"No Data")</f>
        <v>Valid Response</v>
      </c>
    </row>
    <row r="141" spans="2:10" x14ac:dyDescent="0.25">
      <c r="B141" s="17">
        <v>1136</v>
      </c>
      <c r="C141" s="4">
        <v>45673</v>
      </c>
      <c r="D141" s="3" t="s">
        <v>314</v>
      </c>
      <c r="E141" s="3" t="s">
        <v>19</v>
      </c>
      <c r="F141" s="11">
        <v>55000</v>
      </c>
      <c r="G141" s="14">
        <v>0</v>
      </c>
      <c r="H141" s="3" t="s">
        <v>28</v>
      </c>
      <c r="I141" s="3" t="s">
        <v>21</v>
      </c>
      <c r="J141" s="3" t="str">
        <f>IFERROR(IF(AND(Table1[[#This Row],[Sales]]=0,Table1[[#This Row],[Quantity]]&lt;&gt;0),"Sales Missing",IF(AND(Table1[[#This Row],[Sales]]&lt;&gt;0,Table1[[#This Row],[Quantity]]=0),"Quantity Missing",IF(AND(Table1[[#This Row],[Sales]]=0,Table1[[#This Row],[Quantity]]=0),"Both Missing","Valid Response"))),"No Data")</f>
        <v>Quantity Missing</v>
      </c>
    </row>
    <row r="142" spans="2:10" x14ac:dyDescent="0.25">
      <c r="B142" s="17">
        <v>1137</v>
      </c>
      <c r="C142" s="4">
        <v>45674</v>
      </c>
      <c r="D142" s="3" t="s">
        <v>33</v>
      </c>
      <c r="E142" s="3" t="s">
        <v>19</v>
      </c>
      <c r="F142" s="11">
        <v>0</v>
      </c>
      <c r="G142" s="14">
        <v>3</v>
      </c>
      <c r="H142" s="3" t="s">
        <v>38</v>
      </c>
      <c r="I142" s="3" t="s">
        <v>29</v>
      </c>
      <c r="J142" s="3" t="str">
        <f>IFERROR(IF(AND(Table1[[#This Row],[Sales]]=0,Table1[[#This Row],[Quantity]]&lt;&gt;0),"Sales Missing",IF(AND(Table1[[#This Row],[Sales]]&lt;&gt;0,Table1[[#This Row],[Quantity]]=0),"Quantity Missing",IF(AND(Table1[[#This Row],[Sales]]=0,Table1[[#This Row],[Quantity]]=0),"Both Missing","Valid Response"))),"No Data")</f>
        <v>Sales Missing</v>
      </c>
    </row>
    <row r="143" spans="2:10" x14ac:dyDescent="0.25">
      <c r="B143" s="17">
        <v>1138</v>
      </c>
      <c r="C143" s="4">
        <v>45675</v>
      </c>
      <c r="D143" s="3" t="s">
        <v>23</v>
      </c>
      <c r="E143" s="3" t="s">
        <v>19</v>
      </c>
      <c r="F143" s="11">
        <v>20000</v>
      </c>
      <c r="G143" s="14">
        <v>0</v>
      </c>
      <c r="H143" s="3" t="s">
        <v>15</v>
      </c>
      <c r="I143" s="3" t="s">
        <v>21</v>
      </c>
      <c r="J143" s="3" t="str">
        <f>IFERROR(IF(AND(Table1[[#This Row],[Sales]]=0,Table1[[#This Row],[Quantity]]&lt;&gt;0),"Sales Missing",IF(AND(Table1[[#This Row],[Sales]]&lt;&gt;0,Table1[[#This Row],[Quantity]]=0),"Quantity Missing",IF(AND(Table1[[#This Row],[Sales]]=0,Table1[[#This Row],[Quantity]]=0),"Both Missing","Valid Response"))),"No Data")</f>
        <v>Quantity Missing</v>
      </c>
    </row>
    <row r="144" spans="2:10" x14ac:dyDescent="0.25">
      <c r="B144" s="17">
        <v>1139</v>
      </c>
      <c r="C144" s="4">
        <v>45676</v>
      </c>
      <c r="D144" s="3" t="s">
        <v>33</v>
      </c>
      <c r="E144" s="3" t="s">
        <v>10</v>
      </c>
      <c r="F144" s="11">
        <v>20000</v>
      </c>
      <c r="G144" s="14">
        <v>2</v>
      </c>
      <c r="H144" s="3" t="s">
        <v>20</v>
      </c>
      <c r="I144" s="3" t="s">
        <v>21</v>
      </c>
      <c r="J144" s="3" t="str">
        <f>IFERROR(IF(AND(Table1[[#This Row],[Sales]]=0,Table1[[#This Row],[Quantity]]&lt;&gt;0),"Sales Missing",IF(AND(Table1[[#This Row],[Sales]]&lt;&gt;0,Table1[[#This Row],[Quantity]]=0),"Quantity Missing",IF(AND(Table1[[#This Row],[Sales]]=0,Table1[[#This Row],[Quantity]]=0),"Both Missing","Valid Response"))),"No Data")</f>
        <v>Valid Response</v>
      </c>
    </row>
    <row r="145" spans="2:10" x14ac:dyDescent="0.25">
      <c r="B145" s="17">
        <v>1140</v>
      </c>
      <c r="C145" s="4">
        <v>45677</v>
      </c>
      <c r="D145" s="3" t="s">
        <v>45</v>
      </c>
      <c r="E145" s="3" t="s">
        <v>10</v>
      </c>
      <c r="F145" s="11">
        <v>55000</v>
      </c>
      <c r="G145" s="14">
        <v>3</v>
      </c>
      <c r="H145" s="3" t="s">
        <v>15</v>
      </c>
      <c r="I145" s="3" t="s">
        <v>31</v>
      </c>
      <c r="J145" s="3" t="str">
        <f>IFERROR(IF(AND(Table1[[#This Row],[Sales]]=0,Table1[[#This Row],[Quantity]]&lt;&gt;0),"Sales Missing",IF(AND(Table1[[#This Row],[Sales]]&lt;&gt;0,Table1[[#This Row],[Quantity]]=0),"Quantity Missing",IF(AND(Table1[[#This Row],[Sales]]=0,Table1[[#This Row],[Quantity]]=0),"Both Missing","Valid Response"))),"No Data")</f>
        <v>Valid Response</v>
      </c>
    </row>
    <row r="146" spans="2:10" x14ac:dyDescent="0.25">
      <c r="B146" s="17">
        <v>1141</v>
      </c>
      <c r="C146" s="4">
        <v>45678</v>
      </c>
      <c r="D146" s="3" t="s">
        <v>45</v>
      </c>
      <c r="E146" s="3" t="s">
        <v>19</v>
      </c>
      <c r="F146" s="11">
        <v>21000</v>
      </c>
      <c r="G146" s="14">
        <v>2</v>
      </c>
      <c r="H146" s="3" t="s">
        <v>34</v>
      </c>
      <c r="I146" s="3" t="s">
        <v>31</v>
      </c>
      <c r="J146" s="3" t="str">
        <f>IFERROR(IF(AND(Table1[[#This Row],[Sales]]=0,Table1[[#This Row],[Quantity]]&lt;&gt;0),"Sales Missing",IF(AND(Table1[[#This Row],[Sales]]&lt;&gt;0,Table1[[#This Row],[Quantity]]=0),"Quantity Missing",IF(AND(Table1[[#This Row],[Sales]]=0,Table1[[#This Row],[Quantity]]=0),"Both Missing","Valid Response"))),"No Data")</f>
        <v>Valid Response</v>
      </c>
    </row>
    <row r="147" spans="2:10" x14ac:dyDescent="0.25">
      <c r="B147" s="17">
        <v>1142</v>
      </c>
      <c r="C147" s="4">
        <v>45679</v>
      </c>
      <c r="D147" s="3" t="s">
        <v>23</v>
      </c>
      <c r="E147" s="3" t="s">
        <v>27</v>
      </c>
      <c r="F147" s="11">
        <v>55000</v>
      </c>
      <c r="G147" s="14">
        <v>3</v>
      </c>
      <c r="H147" s="3" t="s">
        <v>46</v>
      </c>
      <c r="I147" s="3" t="s">
        <v>53</v>
      </c>
      <c r="J147" s="3" t="str">
        <f>IFERROR(IF(AND(Table1[[#This Row],[Sales]]=0,Table1[[#This Row],[Quantity]]&lt;&gt;0),"Sales Missing",IF(AND(Table1[[#This Row],[Sales]]&lt;&gt;0,Table1[[#This Row],[Quantity]]=0),"Quantity Missing",IF(AND(Table1[[#This Row],[Sales]]=0,Table1[[#This Row],[Quantity]]=0),"Both Missing","Valid Response"))),"No Data")</f>
        <v>Valid Response</v>
      </c>
    </row>
    <row r="148" spans="2:10" x14ac:dyDescent="0.25">
      <c r="B148" s="17">
        <v>1143</v>
      </c>
      <c r="C148" s="4">
        <v>45680</v>
      </c>
      <c r="D148" s="3" t="s">
        <v>33</v>
      </c>
      <c r="E148" s="3" t="s">
        <v>19</v>
      </c>
      <c r="F148" s="11">
        <v>52000</v>
      </c>
      <c r="G148" s="14">
        <v>0</v>
      </c>
      <c r="H148" s="3" t="s">
        <v>20</v>
      </c>
      <c r="I148" s="3" t="s">
        <v>31</v>
      </c>
      <c r="J148" s="3" t="str">
        <f>IFERROR(IF(AND(Table1[[#This Row],[Sales]]=0,Table1[[#This Row],[Quantity]]&lt;&gt;0),"Sales Missing",IF(AND(Table1[[#This Row],[Sales]]&lt;&gt;0,Table1[[#This Row],[Quantity]]=0),"Quantity Missing",IF(AND(Table1[[#This Row],[Sales]]=0,Table1[[#This Row],[Quantity]]=0),"Both Missing","Valid Response"))),"No Data")</f>
        <v>Quantity Missing</v>
      </c>
    </row>
    <row r="149" spans="2:10" x14ac:dyDescent="0.25">
      <c r="B149" s="17">
        <v>1144</v>
      </c>
      <c r="C149" s="4">
        <v>45681</v>
      </c>
      <c r="D149" s="3" t="s">
        <v>45</v>
      </c>
      <c r="E149" s="3" t="s">
        <v>27</v>
      </c>
      <c r="F149" s="11">
        <v>48000</v>
      </c>
      <c r="G149" s="14">
        <v>1</v>
      </c>
      <c r="H149" s="3" t="s">
        <v>20</v>
      </c>
      <c r="I149" s="3" t="s">
        <v>29</v>
      </c>
      <c r="J149" s="3" t="str">
        <f>IFERROR(IF(AND(Table1[[#This Row],[Sales]]=0,Table1[[#This Row],[Quantity]]&lt;&gt;0),"Sales Missing",IF(AND(Table1[[#This Row],[Sales]]&lt;&gt;0,Table1[[#This Row],[Quantity]]=0),"Quantity Missing",IF(AND(Table1[[#This Row],[Sales]]=0,Table1[[#This Row],[Quantity]]=0),"Both Missing","Valid Response"))),"No Data")</f>
        <v>Valid Response</v>
      </c>
    </row>
    <row r="150" spans="2:10" x14ac:dyDescent="0.25">
      <c r="B150" s="17">
        <v>1145</v>
      </c>
      <c r="C150" s="4">
        <v>45682</v>
      </c>
      <c r="D150" s="3" t="s">
        <v>23</v>
      </c>
      <c r="E150" s="3" t="s">
        <v>19</v>
      </c>
      <c r="F150" s="11">
        <v>52000</v>
      </c>
      <c r="G150" s="14">
        <v>3</v>
      </c>
      <c r="H150" s="3" t="s">
        <v>15</v>
      </c>
      <c r="I150" s="3" t="s">
        <v>29</v>
      </c>
      <c r="J150" s="3" t="str">
        <f>IFERROR(IF(AND(Table1[[#This Row],[Sales]]=0,Table1[[#This Row],[Quantity]]&lt;&gt;0),"Sales Missing",IF(AND(Table1[[#This Row],[Sales]]&lt;&gt;0,Table1[[#This Row],[Quantity]]=0),"Quantity Missing",IF(AND(Table1[[#This Row],[Sales]]=0,Table1[[#This Row],[Quantity]]=0),"Both Missing","Valid Response"))),"No Data")</f>
        <v>Valid Response</v>
      </c>
    </row>
    <row r="151" spans="2:10" x14ac:dyDescent="0.25">
      <c r="B151" s="17">
        <v>1146</v>
      </c>
      <c r="C151" s="4">
        <v>45683</v>
      </c>
      <c r="D151" s="3" t="s">
        <v>23</v>
      </c>
      <c r="E151" s="3" t="s">
        <v>19</v>
      </c>
      <c r="F151" s="11">
        <v>52000</v>
      </c>
      <c r="G151" s="14">
        <v>0</v>
      </c>
      <c r="H151" s="3" t="s">
        <v>28</v>
      </c>
      <c r="I151" s="3" t="s">
        <v>53</v>
      </c>
      <c r="J151" s="3" t="str">
        <f>IFERROR(IF(AND(Table1[[#This Row],[Sales]]=0,Table1[[#This Row],[Quantity]]&lt;&gt;0),"Sales Missing",IF(AND(Table1[[#This Row],[Sales]]&lt;&gt;0,Table1[[#This Row],[Quantity]]=0),"Quantity Missing",IF(AND(Table1[[#This Row],[Sales]]=0,Table1[[#This Row],[Quantity]]=0),"Both Missing","Valid Response"))),"No Data")</f>
        <v>Quantity Missing</v>
      </c>
    </row>
    <row r="152" spans="2:10" x14ac:dyDescent="0.25">
      <c r="B152" s="17">
        <v>1147</v>
      </c>
      <c r="C152" s="4">
        <v>45684</v>
      </c>
      <c r="D152" s="3" t="s">
        <v>33</v>
      </c>
      <c r="E152" s="3" t="s">
        <v>27</v>
      </c>
      <c r="F152" s="11">
        <v>21000</v>
      </c>
      <c r="G152" s="14">
        <v>3</v>
      </c>
      <c r="H152" s="3" t="s">
        <v>46</v>
      </c>
      <c r="I152" s="3" t="s">
        <v>29</v>
      </c>
      <c r="J152" s="3" t="str">
        <f>IFERROR(IF(AND(Table1[[#This Row],[Sales]]=0,Table1[[#This Row],[Quantity]]&lt;&gt;0),"Sales Missing",IF(AND(Table1[[#This Row],[Sales]]&lt;&gt;0,Table1[[#This Row],[Quantity]]=0),"Quantity Missing",IF(AND(Table1[[#This Row],[Sales]]=0,Table1[[#This Row],[Quantity]]=0),"Both Missing","Valid Response"))),"No Data")</f>
        <v>Valid Response</v>
      </c>
    </row>
    <row r="153" spans="2:10" x14ac:dyDescent="0.25">
      <c r="B153" s="17">
        <v>1148</v>
      </c>
      <c r="C153" s="4">
        <v>45685</v>
      </c>
      <c r="D153" s="3" t="s">
        <v>45</v>
      </c>
      <c r="E153" s="3" t="s">
        <v>10</v>
      </c>
      <c r="F153" s="11">
        <v>52000</v>
      </c>
      <c r="G153" s="14">
        <v>0</v>
      </c>
      <c r="H153" s="3" t="s">
        <v>11</v>
      </c>
      <c r="I153" s="3" t="s">
        <v>53</v>
      </c>
      <c r="J153" s="3" t="str">
        <f>IFERROR(IF(AND(Table1[[#This Row],[Sales]]=0,Table1[[#This Row],[Quantity]]&lt;&gt;0),"Sales Missing",IF(AND(Table1[[#This Row],[Sales]]&lt;&gt;0,Table1[[#This Row],[Quantity]]=0),"Quantity Missing",IF(AND(Table1[[#This Row],[Sales]]=0,Table1[[#This Row],[Quantity]]=0),"Both Missing","Valid Response"))),"No Data")</f>
        <v>Quantity Missing</v>
      </c>
    </row>
    <row r="154" spans="2:10" x14ac:dyDescent="0.25">
      <c r="B154" s="17">
        <v>1149</v>
      </c>
      <c r="C154" s="4">
        <v>45686</v>
      </c>
      <c r="D154" s="3" t="s">
        <v>23</v>
      </c>
      <c r="E154" s="3" t="s">
        <v>19</v>
      </c>
      <c r="F154" s="11">
        <v>21000</v>
      </c>
      <c r="G154" s="14">
        <v>2</v>
      </c>
      <c r="H154" s="3" t="s">
        <v>34</v>
      </c>
      <c r="I154" s="3" t="s">
        <v>31</v>
      </c>
      <c r="J154" s="3" t="str">
        <f>IFERROR(IF(AND(Table1[[#This Row],[Sales]]=0,Table1[[#This Row],[Quantity]]&lt;&gt;0),"Sales Missing",IF(AND(Table1[[#This Row],[Sales]]&lt;&gt;0,Table1[[#This Row],[Quantity]]=0),"Quantity Missing",IF(AND(Table1[[#This Row],[Sales]]=0,Table1[[#This Row],[Quantity]]=0),"Both Missing","Valid Response"))),"No Data")</f>
        <v>Valid Response</v>
      </c>
    </row>
    <row r="155" spans="2:10" x14ac:dyDescent="0.25">
      <c r="B155" s="17">
        <v>1150</v>
      </c>
      <c r="C155" s="4">
        <v>45687</v>
      </c>
      <c r="D155" s="3" t="s">
        <v>45</v>
      </c>
      <c r="E155" s="3" t="s">
        <v>10</v>
      </c>
      <c r="F155" s="11">
        <v>55000</v>
      </c>
      <c r="G155" s="14">
        <v>0</v>
      </c>
      <c r="H155" s="3" t="s">
        <v>46</v>
      </c>
      <c r="I155" s="3" t="s">
        <v>31</v>
      </c>
      <c r="J155" s="3" t="str">
        <f>IFERROR(IF(AND(Table1[[#This Row],[Sales]]=0,Table1[[#This Row],[Quantity]]&lt;&gt;0),"Sales Missing",IF(AND(Table1[[#This Row],[Sales]]&lt;&gt;0,Table1[[#This Row],[Quantity]]=0),"Quantity Missing",IF(AND(Table1[[#This Row],[Sales]]=0,Table1[[#This Row],[Quantity]]=0),"Both Missing","Valid Response"))),"No Data")</f>
        <v>Quantity Missing</v>
      </c>
    </row>
    <row r="156" spans="2:10" x14ac:dyDescent="0.25">
      <c r="B156" s="17">
        <v>1151</v>
      </c>
      <c r="C156" s="4">
        <v>45688</v>
      </c>
      <c r="D156" s="3" t="s">
        <v>45</v>
      </c>
      <c r="E156" s="3" t="s">
        <v>10</v>
      </c>
      <c r="F156" s="11">
        <v>55000</v>
      </c>
      <c r="G156" s="14">
        <v>2</v>
      </c>
      <c r="H156" s="3" t="s">
        <v>46</v>
      </c>
      <c r="I156" s="3" t="s">
        <v>31</v>
      </c>
      <c r="J156" s="3" t="str">
        <f>IFERROR(IF(AND(Table1[[#This Row],[Sales]]=0,Table1[[#This Row],[Quantity]]&lt;&gt;0),"Sales Missing",IF(AND(Table1[[#This Row],[Sales]]&lt;&gt;0,Table1[[#This Row],[Quantity]]=0),"Quantity Missing",IF(AND(Table1[[#This Row],[Sales]]=0,Table1[[#This Row],[Quantity]]=0),"Both Missing","Valid Response"))),"No Data")</f>
        <v>Valid Response</v>
      </c>
    </row>
    <row r="157" spans="2:10" x14ac:dyDescent="0.25">
      <c r="B157" s="17">
        <v>1152</v>
      </c>
      <c r="C157" s="4">
        <v>45689</v>
      </c>
      <c r="D157" s="3" t="s">
        <v>23</v>
      </c>
      <c r="E157" s="3" t="s">
        <v>19</v>
      </c>
      <c r="F157" s="11">
        <v>48000</v>
      </c>
      <c r="G157" s="14">
        <v>0</v>
      </c>
      <c r="H157" s="3" t="s">
        <v>15</v>
      </c>
      <c r="I157" s="3" t="s">
        <v>29</v>
      </c>
      <c r="J157" s="3" t="str">
        <f>IFERROR(IF(AND(Table1[[#This Row],[Sales]]=0,Table1[[#This Row],[Quantity]]&lt;&gt;0),"Sales Missing",IF(AND(Table1[[#This Row],[Sales]]&lt;&gt;0,Table1[[#This Row],[Quantity]]=0),"Quantity Missing",IF(AND(Table1[[#This Row],[Sales]]=0,Table1[[#This Row],[Quantity]]=0),"Both Missing","Valid Response"))),"No Data")</f>
        <v>Quantity Missing</v>
      </c>
    </row>
    <row r="158" spans="2:10" x14ac:dyDescent="0.25">
      <c r="B158" s="17">
        <v>1153</v>
      </c>
      <c r="C158" s="4">
        <v>45690</v>
      </c>
      <c r="D158" s="3" t="s">
        <v>23</v>
      </c>
      <c r="E158" s="3" t="s">
        <v>19</v>
      </c>
      <c r="F158" s="11">
        <v>21000</v>
      </c>
      <c r="G158" s="14">
        <v>3</v>
      </c>
      <c r="H158" s="3" t="s">
        <v>15</v>
      </c>
      <c r="I158" s="3" t="s">
        <v>21</v>
      </c>
      <c r="J158" s="3" t="str">
        <f>IFERROR(IF(AND(Table1[[#This Row],[Sales]]=0,Table1[[#This Row],[Quantity]]&lt;&gt;0),"Sales Missing",IF(AND(Table1[[#This Row],[Sales]]&lt;&gt;0,Table1[[#This Row],[Quantity]]=0),"Quantity Missing",IF(AND(Table1[[#This Row],[Sales]]=0,Table1[[#This Row],[Quantity]]=0),"Both Missing","Valid Response"))),"No Data")</f>
        <v>Valid Response</v>
      </c>
    </row>
    <row r="159" spans="2:10" x14ac:dyDescent="0.25">
      <c r="B159" s="17">
        <v>1154</v>
      </c>
      <c r="C159" s="4">
        <v>45691</v>
      </c>
      <c r="D159" s="3" t="s">
        <v>33</v>
      </c>
      <c r="E159" s="3" t="s">
        <v>27</v>
      </c>
      <c r="F159" s="11">
        <v>52000</v>
      </c>
      <c r="G159" s="14">
        <v>0</v>
      </c>
      <c r="H159" s="3" t="s">
        <v>20</v>
      </c>
      <c r="I159" s="3" t="s">
        <v>53</v>
      </c>
      <c r="J159" s="3" t="str">
        <f>IFERROR(IF(AND(Table1[[#This Row],[Sales]]=0,Table1[[#This Row],[Quantity]]&lt;&gt;0),"Sales Missing",IF(AND(Table1[[#This Row],[Sales]]&lt;&gt;0,Table1[[#This Row],[Quantity]]=0),"Quantity Missing",IF(AND(Table1[[#This Row],[Sales]]=0,Table1[[#This Row],[Quantity]]=0),"Both Missing","Valid Response"))),"No Data")</f>
        <v>Quantity Missing</v>
      </c>
    </row>
    <row r="160" spans="2:10" x14ac:dyDescent="0.25">
      <c r="B160" s="17">
        <v>1155</v>
      </c>
      <c r="C160" s="4">
        <v>45692</v>
      </c>
      <c r="D160" s="3" t="s">
        <v>23</v>
      </c>
      <c r="E160" s="3" t="s">
        <v>19</v>
      </c>
      <c r="F160" s="11">
        <v>21000</v>
      </c>
      <c r="G160" s="14">
        <v>3</v>
      </c>
      <c r="H160" s="3" t="s">
        <v>20</v>
      </c>
      <c r="I160" s="3" t="s">
        <v>53</v>
      </c>
      <c r="J160" s="3" t="str">
        <f>IFERROR(IF(AND(Table1[[#This Row],[Sales]]=0,Table1[[#This Row],[Quantity]]&lt;&gt;0),"Sales Missing",IF(AND(Table1[[#This Row],[Sales]]&lt;&gt;0,Table1[[#This Row],[Quantity]]=0),"Quantity Missing",IF(AND(Table1[[#This Row],[Sales]]=0,Table1[[#This Row],[Quantity]]=0),"Both Missing","Valid Response"))),"No Data")</f>
        <v>Valid Response</v>
      </c>
    </row>
    <row r="161" spans="2:10" x14ac:dyDescent="0.25">
      <c r="B161" s="17">
        <v>1156</v>
      </c>
      <c r="C161" s="4">
        <v>45693</v>
      </c>
      <c r="D161" s="3" t="s">
        <v>314</v>
      </c>
      <c r="E161" s="3" t="s">
        <v>27</v>
      </c>
      <c r="F161" s="11">
        <v>52000</v>
      </c>
      <c r="G161" s="14">
        <v>2</v>
      </c>
      <c r="H161" s="3" t="s">
        <v>24</v>
      </c>
      <c r="I161" s="3" t="s">
        <v>29</v>
      </c>
      <c r="J161" s="3" t="str">
        <f>IFERROR(IF(AND(Table1[[#This Row],[Sales]]=0,Table1[[#This Row],[Quantity]]&lt;&gt;0),"Sales Missing",IF(AND(Table1[[#This Row],[Sales]]&lt;&gt;0,Table1[[#This Row],[Quantity]]=0),"Quantity Missing",IF(AND(Table1[[#This Row],[Sales]]=0,Table1[[#This Row],[Quantity]]=0),"Both Missing","Valid Response"))),"No Data")</f>
        <v>Valid Response</v>
      </c>
    </row>
    <row r="162" spans="2:10" x14ac:dyDescent="0.25">
      <c r="B162" s="17">
        <v>1157</v>
      </c>
      <c r="C162" s="4">
        <v>45694</v>
      </c>
      <c r="D162" s="3" t="s">
        <v>315</v>
      </c>
      <c r="E162" s="3" t="s">
        <v>27</v>
      </c>
      <c r="F162" s="11">
        <v>48000</v>
      </c>
      <c r="G162" s="14">
        <v>1</v>
      </c>
      <c r="H162" s="3" t="s">
        <v>38</v>
      </c>
      <c r="I162" s="3" t="s">
        <v>29</v>
      </c>
      <c r="J162" s="3" t="str">
        <f>IFERROR(IF(AND(Table1[[#This Row],[Sales]]=0,Table1[[#This Row],[Quantity]]&lt;&gt;0),"Sales Missing",IF(AND(Table1[[#This Row],[Sales]]&lt;&gt;0,Table1[[#This Row],[Quantity]]=0),"Quantity Missing",IF(AND(Table1[[#This Row],[Sales]]=0,Table1[[#This Row],[Quantity]]=0),"Both Missing","Valid Response"))),"No Data")</f>
        <v>Valid Response</v>
      </c>
    </row>
    <row r="163" spans="2:10" x14ac:dyDescent="0.25">
      <c r="B163" s="17">
        <v>1158</v>
      </c>
      <c r="C163" s="4">
        <v>45695</v>
      </c>
      <c r="D163" s="3" t="s">
        <v>23</v>
      </c>
      <c r="E163" s="3" t="s">
        <v>10</v>
      </c>
      <c r="F163" s="11">
        <v>0</v>
      </c>
      <c r="G163" s="14">
        <v>3</v>
      </c>
      <c r="H163" s="3" t="s">
        <v>34</v>
      </c>
      <c r="I163" s="3" t="s">
        <v>21</v>
      </c>
      <c r="J163" s="3" t="str">
        <f>IFERROR(IF(AND(Table1[[#This Row],[Sales]]=0,Table1[[#This Row],[Quantity]]&lt;&gt;0),"Sales Missing",IF(AND(Table1[[#This Row],[Sales]]&lt;&gt;0,Table1[[#This Row],[Quantity]]=0),"Quantity Missing",IF(AND(Table1[[#This Row],[Sales]]=0,Table1[[#This Row],[Quantity]]=0),"Both Missing","Valid Response"))),"No Data")</f>
        <v>Sales Missing</v>
      </c>
    </row>
    <row r="164" spans="2:10" x14ac:dyDescent="0.25">
      <c r="B164" s="17">
        <v>1159</v>
      </c>
      <c r="C164" s="4">
        <v>45696</v>
      </c>
      <c r="D164" s="3" t="s">
        <v>314</v>
      </c>
      <c r="E164" s="3" t="s">
        <v>19</v>
      </c>
      <c r="F164" s="11">
        <v>0</v>
      </c>
      <c r="G164" s="14">
        <v>1</v>
      </c>
      <c r="H164" s="3" t="s">
        <v>28</v>
      </c>
      <c r="I164" s="3" t="s">
        <v>21</v>
      </c>
      <c r="J164" s="3" t="str">
        <f>IFERROR(IF(AND(Table1[[#This Row],[Sales]]=0,Table1[[#This Row],[Quantity]]&lt;&gt;0),"Sales Missing",IF(AND(Table1[[#This Row],[Sales]]&lt;&gt;0,Table1[[#This Row],[Quantity]]=0),"Quantity Missing",IF(AND(Table1[[#This Row],[Sales]]=0,Table1[[#This Row],[Quantity]]=0),"Both Missing","Valid Response"))),"No Data")</f>
        <v>Sales Missing</v>
      </c>
    </row>
    <row r="165" spans="2:10" x14ac:dyDescent="0.25">
      <c r="B165" s="17">
        <v>1160</v>
      </c>
      <c r="C165" s="4">
        <v>45697</v>
      </c>
      <c r="D165" s="3" t="s">
        <v>23</v>
      </c>
      <c r="E165" s="3" t="s">
        <v>19</v>
      </c>
      <c r="F165" s="11">
        <v>52000</v>
      </c>
      <c r="G165" s="14">
        <v>3</v>
      </c>
      <c r="H165" s="3" t="s">
        <v>24</v>
      </c>
      <c r="I165" s="3" t="s">
        <v>29</v>
      </c>
      <c r="J165" s="3" t="str">
        <f>IFERROR(IF(AND(Table1[[#This Row],[Sales]]=0,Table1[[#This Row],[Quantity]]&lt;&gt;0),"Sales Missing",IF(AND(Table1[[#This Row],[Sales]]&lt;&gt;0,Table1[[#This Row],[Quantity]]=0),"Quantity Missing",IF(AND(Table1[[#This Row],[Sales]]=0,Table1[[#This Row],[Quantity]]=0),"Both Missing","Valid Response"))),"No Data")</f>
        <v>Valid Response</v>
      </c>
    </row>
    <row r="166" spans="2:10" x14ac:dyDescent="0.25">
      <c r="B166" s="17">
        <v>1161</v>
      </c>
      <c r="C166" s="4">
        <v>45698</v>
      </c>
      <c r="D166" s="3" t="s">
        <v>23</v>
      </c>
      <c r="E166" s="3" t="s">
        <v>19</v>
      </c>
      <c r="F166" s="11">
        <v>0</v>
      </c>
      <c r="G166" s="14">
        <v>2</v>
      </c>
      <c r="H166" s="3" t="s">
        <v>15</v>
      </c>
      <c r="I166" s="3" t="s">
        <v>29</v>
      </c>
      <c r="J166" s="3" t="str">
        <f>IFERROR(IF(AND(Table1[[#This Row],[Sales]]=0,Table1[[#This Row],[Quantity]]&lt;&gt;0),"Sales Missing",IF(AND(Table1[[#This Row],[Sales]]&lt;&gt;0,Table1[[#This Row],[Quantity]]=0),"Quantity Missing",IF(AND(Table1[[#This Row],[Sales]]=0,Table1[[#This Row],[Quantity]]=0),"Both Missing","Valid Response"))),"No Data")</f>
        <v>Sales Missing</v>
      </c>
    </row>
    <row r="167" spans="2:10" x14ac:dyDescent="0.25">
      <c r="B167" s="17">
        <v>1162</v>
      </c>
      <c r="C167" s="4">
        <v>45699</v>
      </c>
      <c r="D167" s="3" t="s">
        <v>45</v>
      </c>
      <c r="E167" s="3" t="s">
        <v>19</v>
      </c>
      <c r="F167" s="11">
        <v>21000</v>
      </c>
      <c r="G167" s="14">
        <v>1</v>
      </c>
      <c r="H167" s="3" t="s">
        <v>15</v>
      </c>
      <c r="I167" s="3" t="s">
        <v>29</v>
      </c>
      <c r="J167" s="3" t="str">
        <f>IFERROR(IF(AND(Table1[[#This Row],[Sales]]=0,Table1[[#This Row],[Quantity]]&lt;&gt;0),"Sales Missing",IF(AND(Table1[[#This Row],[Sales]]&lt;&gt;0,Table1[[#This Row],[Quantity]]=0),"Quantity Missing",IF(AND(Table1[[#This Row],[Sales]]=0,Table1[[#This Row],[Quantity]]=0),"Both Missing","Valid Response"))),"No Data")</f>
        <v>Valid Response</v>
      </c>
    </row>
    <row r="168" spans="2:10" x14ac:dyDescent="0.25">
      <c r="B168" s="17">
        <v>1163</v>
      </c>
      <c r="C168" s="4">
        <v>45700</v>
      </c>
      <c r="D168" s="3" t="s">
        <v>23</v>
      </c>
      <c r="E168" s="3" t="s">
        <v>27</v>
      </c>
      <c r="F168" s="11">
        <v>53000</v>
      </c>
      <c r="G168" s="14">
        <v>1</v>
      </c>
      <c r="H168" s="3" t="s">
        <v>34</v>
      </c>
      <c r="I168" s="3" t="s">
        <v>31</v>
      </c>
      <c r="J168" s="3" t="str">
        <f>IFERROR(IF(AND(Table1[[#This Row],[Sales]]=0,Table1[[#This Row],[Quantity]]&lt;&gt;0),"Sales Missing",IF(AND(Table1[[#This Row],[Sales]]&lt;&gt;0,Table1[[#This Row],[Quantity]]=0),"Quantity Missing",IF(AND(Table1[[#This Row],[Sales]]=0,Table1[[#This Row],[Quantity]]=0),"Both Missing","Valid Response"))),"No Data")</f>
        <v>Valid Response</v>
      </c>
    </row>
    <row r="169" spans="2:10" x14ac:dyDescent="0.25">
      <c r="B169" s="17">
        <v>1164</v>
      </c>
      <c r="C169" s="4">
        <v>45701</v>
      </c>
      <c r="D169" s="3" t="s">
        <v>315</v>
      </c>
      <c r="E169" s="3" t="s">
        <v>27</v>
      </c>
      <c r="F169" s="11">
        <v>48000</v>
      </c>
      <c r="G169" s="14">
        <v>1</v>
      </c>
      <c r="H169" s="3" t="s">
        <v>46</v>
      </c>
      <c r="I169" s="3" t="s">
        <v>21</v>
      </c>
      <c r="J169" s="3" t="str">
        <f>IFERROR(IF(AND(Table1[[#This Row],[Sales]]=0,Table1[[#This Row],[Quantity]]&lt;&gt;0),"Sales Missing",IF(AND(Table1[[#This Row],[Sales]]&lt;&gt;0,Table1[[#This Row],[Quantity]]=0),"Quantity Missing",IF(AND(Table1[[#This Row],[Sales]]=0,Table1[[#This Row],[Quantity]]=0),"Both Missing","Valid Response"))),"No Data")</f>
        <v>Valid Response</v>
      </c>
    </row>
    <row r="170" spans="2:10" x14ac:dyDescent="0.25">
      <c r="B170" s="17">
        <v>1165</v>
      </c>
      <c r="C170" s="4">
        <v>45702</v>
      </c>
      <c r="D170" s="3" t="s">
        <v>45</v>
      </c>
      <c r="E170" s="3" t="s">
        <v>19</v>
      </c>
      <c r="F170" s="11">
        <v>15000</v>
      </c>
      <c r="G170" s="14">
        <v>2</v>
      </c>
      <c r="H170" s="3" t="s">
        <v>11</v>
      </c>
      <c r="I170" s="3" t="s">
        <v>21</v>
      </c>
      <c r="J170" s="3" t="str">
        <f>IFERROR(IF(AND(Table1[[#This Row],[Sales]]=0,Table1[[#This Row],[Quantity]]&lt;&gt;0),"Sales Missing",IF(AND(Table1[[#This Row],[Sales]]&lt;&gt;0,Table1[[#This Row],[Quantity]]=0),"Quantity Missing",IF(AND(Table1[[#This Row],[Sales]]=0,Table1[[#This Row],[Quantity]]=0),"Both Missing","Valid Response"))),"No Data")</f>
        <v>Valid Response</v>
      </c>
    </row>
    <row r="171" spans="2:10" x14ac:dyDescent="0.25">
      <c r="B171" s="17">
        <v>1166</v>
      </c>
      <c r="C171" s="4">
        <v>45703</v>
      </c>
      <c r="D171" s="3" t="s">
        <v>33</v>
      </c>
      <c r="E171" s="3" t="s">
        <v>27</v>
      </c>
      <c r="F171" s="11">
        <v>20000</v>
      </c>
      <c r="G171" s="14">
        <v>2</v>
      </c>
      <c r="H171" s="3" t="s">
        <v>15</v>
      </c>
      <c r="I171" s="3" t="s">
        <v>31</v>
      </c>
      <c r="J171" s="3" t="str">
        <f>IFERROR(IF(AND(Table1[[#This Row],[Sales]]=0,Table1[[#This Row],[Quantity]]&lt;&gt;0),"Sales Missing",IF(AND(Table1[[#This Row],[Sales]]&lt;&gt;0,Table1[[#This Row],[Quantity]]=0),"Quantity Missing",IF(AND(Table1[[#This Row],[Sales]]=0,Table1[[#This Row],[Quantity]]=0),"Both Missing","Valid Response"))),"No Data")</f>
        <v>Valid Response</v>
      </c>
    </row>
    <row r="172" spans="2:10" x14ac:dyDescent="0.25">
      <c r="B172" s="17">
        <v>1167</v>
      </c>
      <c r="C172" s="4">
        <v>45704</v>
      </c>
      <c r="D172" s="3" t="s">
        <v>315</v>
      </c>
      <c r="E172" s="3" t="s">
        <v>27</v>
      </c>
      <c r="F172" s="11">
        <v>21000</v>
      </c>
      <c r="G172" s="14">
        <v>0</v>
      </c>
      <c r="H172" s="3" t="s">
        <v>34</v>
      </c>
      <c r="I172" s="3" t="s">
        <v>53</v>
      </c>
      <c r="J172" s="3" t="str">
        <f>IFERROR(IF(AND(Table1[[#This Row],[Sales]]=0,Table1[[#This Row],[Quantity]]&lt;&gt;0),"Sales Missing",IF(AND(Table1[[#This Row],[Sales]]&lt;&gt;0,Table1[[#This Row],[Quantity]]=0),"Quantity Missing",IF(AND(Table1[[#This Row],[Sales]]=0,Table1[[#This Row],[Quantity]]=0),"Both Missing","Valid Response"))),"No Data")</f>
        <v>Quantity Missing</v>
      </c>
    </row>
    <row r="173" spans="2:10" x14ac:dyDescent="0.25">
      <c r="B173" s="17">
        <v>1168</v>
      </c>
      <c r="C173" s="4">
        <v>45705</v>
      </c>
      <c r="D173" s="3" t="s">
        <v>45</v>
      </c>
      <c r="E173" s="3" t="s">
        <v>19</v>
      </c>
      <c r="F173" s="11">
        <v>0</v>
      </c>
      <c r="G173" s="14">
        <v>0</v>
      </c>
      <c r="H173" s="3" t="s">
        <v>34</v>
      </c>
      <c r="I173" s="3" t="s">
        <v>53</v>
      </c>
      <c r="J173" s="3" t="str">
        <f>IFERROR(IF(AND(Table1[[#This Row],[Sales]]=0,Table1[[#This Row],[Quantity]]&lt;&gt;0),"Sales Missing",IF(AND(Table1[[#This Row],[Sales]]&lt;&gt;0,Table1[[#This Row],[Quantity]]=0),"Quantity Missing",IF(AND(Table1[[#This Row],[Sales]]=0,Table1[[#This Row],[Quantity]]=0),"Both Missing","Valid Response"))),"No Data")</f>
        <v>Both Missing</v>
      </c>
    </row>
    <row r="174" spans="2:10" x14ac:dyDescent="0.25">
      <c r="B174" s="17">
        <v>1169</v>
      </c>
      <c r="C174" s="4">
        <v>45706</v>
      </c>
      <c r="D174" s="3" t="s">
        <v>23</v>
      </c>
      <c r="E174" s="3" t="s">
        <v>19</v>
      </c>
      <c r="F174" s="11">
        <v>21000</v>
      </c>
      <c r="G174" s="14">
        <v>2</v>
      </c>
      <c r="H174" s="3" t="s">
        <v>24</v>
      </c>
      <c r="I174" s="3" t="s">
        <v>53</v>
      </c>
      <c r="J174" s="3" t="str">
        <f>IFERROR(IF(AND(Table1[[#This Row],[Sales]]=0,Table1[[#This Row],[Quantity]]&lt;&gt;0),"Sales Missing",IF(AND(Table1[[#This Row],[Sales]]&lt;&gt;0,Table1[[#This Row],[Quantity]]=0),"Quantity Missing",IF(AND(Table1[[#This Row],[Sales]]=0,Table1[[#This Row],[Quantity]]=0),"Both Missing","Valid Response"))),"No Data")</f>
        <v>Valid Response</v>
      </c>
    </row>
    <row r="175" spans="2:10" x14ac:dyDescent="0.25">
      <c r="B175" s="17">
        <v>1170</v>
      </c>
      <c r="C175" s="4">
        <v>45707</v>
      </c>
      <c r="D175" s="3" t="s">
        <v>23</v>
      </c>
      <c r="E175" s="3" t="s">
        <v>19</v>
      </c>
      <c r="F175" s="11">
        <v>20000</v>
      </c>
      <c r="G175" s="14">
        <v>1</v>
      </c>
      <c r="H175" s="3" t="s">
        <v>24</v>
      </c>
      <c r="I175" s="3" t="s">
        <v>31</v>
      </c>
      <c r="J175" s="3" t="str">
        <f>IFERROR(IF(AND(Table1[[#This Row],[Sales]]=0,Table1[[#This Row],[Quantity]]&lt;&gt;0),"Sales Missing",IF(AND(Table1[[#This Row],[Sales]]&lt;&gt;0,Table1[[#This Row],[Quantity]]=0),"Quantity Missing",IF(AND(Table1[[#This Row],[Sales]]=0,Table1[[#This Row],[Quantity]]=0),"Both Missing","Valid Response"))),"No Data")</f>
        <v>Valid Response</v>
      </c>
    </row>
    <row r="176" spans="2:10" x14ac:dyDescent="0.25">
      <c r="B176" s="17">
        <v>1171</v>
      </c>
      <c r="C176" s="4">
        <v>45708</v>
      </c>
      <c r="D176" s="3" t="s">
        <v>33</v>
      </c>
      <c r="E176" s="3" t="s">
        <v>19</v>
      </c>
      <c r="F176" s="11">
        <v>55000</v>
      </c>
      <c r="G176" s="14">
        <v>0</v>
      </c>
      <c r="H176" s="3" t="s">
        <v>46</v>
      </c>
      <c r="I176" s="3" t="s">
        <v>53</v>
      </c>
      <c r="J176" s="3" t="str">
        <f>IFERROR(IF(AND(Table1[[#This Row],[Sales]]=0,Table1[[#This Row],[Quantity]]&lt;&gt;0),"Sales Missing",IF(AND(Table1[[#This Row],[Sales]]&lt;&gt;0,Table1[[#This Row],[Quantity]]=0),"Quantity Missing",IF(AND(Table1[[#This Row],[Sales]]=0,Table1[[#This Row],[Quantity]]=0),"Both Missing","Valid Response"))),"No Data")</f>
        <v>Quantity Missing</v>
      </c>
    </row>
    <row r="177" spans="2:10" x14ac:dyDescent="0.25">
      <c r="B177" s="17">
        <v>1172</v>
      </c>
      <c r="C177" s="4">
        <v>45709</v>
      </c>
      <c r="D177" s="3" t="s">
        <v>23</v>
      </c>
      <c r="E177" s="3" t="s">
        <v>19</v>
      </c>
      <c r="F177" s="11">
        <v>15000</v>
      </c>
      <c r="G177" s="14">
        <v>0</v>
      </c>
      <c r="H177" s="3" t="s">
        <v>34</v>
      </c>
      <c r="I177" s="3" t="s">
        <v>53</v>
      </c>
      <c r="J177" s="3" t="str">
        <f>IFERROR(IF(AND(Table1[[#This Row],[Sales]]=0,Table1[[#This Row],[Quantity]]&lt;&gt;0),"Sales Missing",IF(AND(Table1[[#This Row],[Sales]]&lt;&gt;0,Table1[[#This Row],[Quantity]]=0),"Quantity Missing",IF(AND(Table1[[#This Row],[Sales]]=0,Table1[[#This Row],[Quantity]]=0),"Both Missing","Valid Response"))),"No Data")</f>
        <v>Quantity Missing</v>
      </c>
    </row>
    <row r="178" spans="2:10" x14ac:dyDescent="0.25">
      <c r="B178" s="17">
        <v>1173</v>
      </c>
      <c r="C178" s="4">
        <v>45710</v>
      </c>
      <c r="D178" s="3" t="s">
        <v>23</v>
      </c>
      <c r="E178" s="3" t="s">
        <v>27</v>
      </c>
      <c r="F178" s="11">
        <v>53000</v>
      </c>
      <c r="G178" s="14">
        <v>0</v>
      </c>
      <c r="H178" s="3" t="s">
        <v>24</v>
      </c>
      <c r="I178" s="3" t="s">
        <v>53</v>
      </c>
      <c r="J178" s="3" t="str">
        <f>IFERROR(IF(AND(Table1[[#This Row],[Sales]]=0,Table1[[#This Row],[Quantity]]&lt;&gt;0),"Sales Missing",IF(AND(Table1[[#This Row],[Sales]]&lt;&gt;0,Table1[[#This Row],[Quantity]]=0),"Quantity Missing",IF(AND(Table1[[#This Row],[Sales]]=0,Table1[[#This Row],[Quantity]]=0),"Both Missing","Valid Response"))),"No Data")</f>
        <v>Quantity Missing</v>
      </c>
    </row>
    <row r="179" spans="2:10" x14ac:dyDescent="0.25">
      <c r="B179" s="17">
        <v>1174</v>
      </c>
      <c r="C179" s="4">
        <v>45711</v>
      </c>
      <c r="D179" s="3" t="s">
        <v>23</v>
      </c>
      <c r="E179" s="3" t="s">
        <v>10</v>
      </c>
      <c r="F179" s="11">
        <v>53000</v>
      </c>
      <c r="G179" s="14">
        <v>1</v>
      </c>
      <c r="H179" s="3" t="s">
        <v>46</v>
      </c>
      <c r="I179" s="3" t="s">
        <v>21</v>
      </c>
      <c r="J179" s="3" t="str">
        <f>IFERROR(IF(AND(Table1[[#This Row],[Sales]]=0,Table1[[#This Row],[Quantity]]&lt;&gt;0),"Sales Missing",IF(AND(Table1[[#This Row],[Sales]]&lt;&gt;0,Table1[[#This Row],[Quantity]]=0),"Quantity Missing",IF(AND(Table1[[#This Row],[Sales]]=0,Table1[[#This Row],[Quantity]]=0),"Both Missing","Valid Response"))),"No Data")</f>
        <v>Valid Response</v>
      </c>
    </row>
    <row r="180" spans="2:10" x14ac:dyDescent="0.25">
      <c r="B180" s="17">
        <v>1175</v>
      </c>
      <c r="C180" s="4">
        <v>45712</v>
      </c>
      <c r="D180" s="3" t="s">
        <v>315</v>
      </c>
      <c r="E180" s="3" t="s">
        <v>10</v>
      </c>
      <c r="F180" s="11">
        <v>48000</v>
      </c>
      <c r="G180" s="14">
        <v>1</v>
      </c>
      <c r="H180" s="3" t="s">
        <v>46</v>
      </c>
      <c r="I180" s="3" t="s">
        <v>53</v>
      </c>
      <c r="J180" s="3" t="str">
        <f>IFERROR(IF(AND(Table1[[#This Row],[Sales]]=0,Table1[[#This Row],[Quantity]]&lt;&gt;0),"Sales Missing",IF(AND(Table1[[#This Row],[Sales]]&lt;&gt;0,Table1[[#This Row],[Quantity]]=0),"Quantity Missing",IF(AND(Table1[[#This Row],[Sales]]=0,Table1[[#This Row],[Quantity]]=0),"Both Missing","Valid Response"))),"No Data")</f>
        <v>Valid Response</v>
      </c>
    </row>
    <row r="181" spans="2:10" x14ac:dyDescent="0.25">
      <c r="B181" s="17">
        <v>1176</v>
      </c>
      <c r="C181" s="4">
        <v>45713</v>
      </c>
      <c r="D181" s="3" t="s">
        <v>23</v>
      </c>
      <c r="E181" s="3" t="s">
        <v>10</v>
      </c>
      <c r="F181" s="11">
        <v>48000</v>
      </c>
      <c r="G181" s="14">
        <v>0</v>
      </c>
      <c r="H181" s="3" t="s">
        <v>46</v>
      </c>
      <c r="I181" s="3" t="s">
        <v>53</v>
      </c>
      <c r="J181" s="3" t="str">
        <f>IFERROR(IF(AND(Table1[[#This Row],[Sales]]=0,Table1[[#This Row],[Quantity]]&lt;&gt;0),"Sales Missing",IF(AND(Table1[[#This Row],[Sales]]&lt;&gt;0,Table1[[#This Row],[Quantity]]=0),"Quantity Missing",IF(AND(Table1[[#This Row],[Sales]]=0,Table1[[#This Row],[Quantity]]=0),"Both Missing","Valid Response"))),"No Data")</f>
        <v>Quantity Missing</v>
      </c>
    </row>
    <row r="182" spans="2:10" x14ac:dyDescent="0.25">
      <c r="B182" s="17">
        <v>1177</v>
      </c>
      <c r="C182" s="4">
        <v>45714</v>
      </c>
      <c r="D182" s="3" t="s">
        <v>314</v>
      </c>
      <c r="E182" s="3" t="s">
        <v>19</v>
      </c>
      <c r="F182" s="11">
        <v>21000</v>
      </c>
      <c r="G182" s="14">
        <v>2</v>
      </c>
      <c r="H182" s="3" t="s">
        <v>24</v>
      </c>
      <c r="I182" s="3" t="s">
        <v>29</v>
      </c>
      <c r="J182" s="3" t="str">
        <f>IFERROR(IF(AND(Table1[[#This Row],[Sales]]=0,Table1[[#This Row],[Quantity]]&lt;&gt;0),"Sales Missing",IF(AND(Table1[[#This Row],[Sales]]&lt;&gt;0,Table1[[#This Row],[Quantity]]=0),"Quantity Missing",IF(AND(Table1[[#This Row],[Sales]]=0,Table1[[#This Row],[Quantity]]=0),"Both Missing","Valid Response"))),"No Data")</f>
        <v>Valid Response</v>
      </c>
    </row>
    <row r="183" spans="2:10" x14ac:dyDescent="0.25">
      <c r="B183" s="17">
        <v>1178</v>
      </c>
      <c r="C183" s="4">
        <v>45715</v>
      </c>
      <c r="D183" s="3" t="s">
        <v>45</v>
      </c>
      <c r="E183" s="3" t="s">
        <v>27</v>
      </c>
      <c r="F183" s="11">
        <v>15000</v>
      </c>
      <c r="G183" s="14">
        <v>1</v>
      </c>
      <c r="H183" s="3" t="s">
        <v>28</v>
      </c>
      <c r="I183" s="3" t="s">
        <v>29</v>
      </c>
      <c r="J183" s="3" t="str">
        <f>IFERROR(IF(AND(Table1[[#This Row],[Sales]]=0,Table1[[#This Row],[Quantity]]&lt;&gt;0),"Sales Missing",IF(AND(Table1[[#This Row],[Sales]]&lt;&gt;0,Table1[[#This Row],[Quantity]]=0),"Quantity Missing",IF(AND(Table1[[#This Row],[Sales]]=0,Table1[[#This Row],[Quantity]]=0),"Both Missing","Valid Response"))),"No Data")</f>
        <v>Valid Response</v>
      </c>
    </row>
    <row r="184" spans="2:10" x14ac:dyDescent="0.25">
      <c r="B184" s="17">
        <v>1179</v>
      </c>
      <c r="C184" s="4">
        <v>45716</v>
      </c>
      <c r="D184" s="3" t="s">
        <v>23</v>
      </c>
      <c r="E184" s="3" t="s">
        <v>19</v>
      </c>
      <c r="F184" s="11">
        <v>20000</v>
      </c>
      <c r="G184" s="14">
        <v>0</v>
      </c>
      <c r="H184" s="3" t="s">
        <v>20</v>
      </c>
      <c r="I184" s="3" t="s">
        <v>53</v>
      </c>
      <c r="J184" s="3" t="str">
        <f>IFERROR(IF(AND(Table1[[#This Row],[Sales]]=0,Table1[[#This Row],[Quantity]]&lt;&gt;0),"Sales Missing",IF(AND(Table1[[#This Row],[Sales]]&lt;&gt;0,Table1[[#This Row],[Quantity]]=0),"Quantity Missing",IF(AND(Table1[[#This Row],[Sales]]=0,Table1[[#This Row],[Quantity]]=0),"Both Missing","Valid Response"))),"No Data")</f>
        <v>Quantity Missing</v>
      </c>
    </row>
    <row r="185" spans="2:10" x14ac:dyDescent="0.25">
      <c r="B185" s="17">
        <v>1180</v>
      </c>
      <c r="C185" s="4">
        <v>45717</v>
      </c>
      <c r="D185" s="3" t="s">
        <v>23</v>
      </c>
      <c r="E185" s="3" t="s">
        <v>27</v>
      </c>
      <c r="F185" s="11">
        <v>15000</v>
      </c>
      <c r="G185" s="14">
        <v>3</v>
      </c>
      <c r="H185" s="3" t="s">
        <v>11</v>
      </c>
      <c r="I185" s="3" t="s">
        <v>21</v>
      </c>
      <c r="J185" s="3" t="str">
        <f>IFERROR(IF(AND(Table1[[#This Row],[Sales]]=0,Table1[[#This Row],[Quantity]]&lt;&gt;0),"Sales Missing",IF(AND(Table1[[#This Row],[Sales]]&lt;&gt;0,Table1[[#This Row],[Quantity]]=0),"Quantity Missing",IF(AND(Table1[[#This Row],[Sales]]=0,Table1[[#This Row],[Quantity]]=0),"Both Missing","Valid Response"))),"No Data")</f>
        <v>Valid Response</v>
      </c>
    </row>
    <row r="186" spans="2:10" x14ac:dyDescent="0.25">
      <c r="B186" s="17">
        <v>1181</v>
      </c>
      <c r="C186" s="4">
        <v>45718</v>
      </c>
      <c r="D186" s="3" t="s">
        <v>33</v>
      </c>
      <c r="E186" s="3" t="s">
        <v>19</v>
      </c>
      <c r="F186" s="11">
        <v>15000</v>
      </c>
      <c r="G186" s="14">
        <v>1</v>
      </c>
      <c r="H186" s="3" t="s">
        <v>24</v>
      </c>
      <c r="I186" s="3" t="s">
        <v>21</v>
      </c>
      <c r="J186" s="3" t="str">
        <f>IFERROR(IF(AND(Table1[[#This Row],[Sales]]=0,Table1[[#This Row],[Quantity]]&lt;&gt;0),"Sales Missing",IF(AND(Table1[[#This Row],[Sales]]&lt;&gt;0,Table1[[#This Row],[Quantity]]=0),"Quantity Missing",IF(AND(Table1[[#This Row],[Sales]]=0,Table1[[#This Row],[Quantity]]=0),"Both Missing","Valid Response"))),"No Data")</f>
        <v>Valid Response</v>
      </c>
    </row>
    <row r="187" spans="2:10" x14ac:dyDescent="0.25">
      <c r="B187" s="17">
        <v>1182</v>
      </c>
      <c r="C187" s="4">
        <v>45719</v>
      </c>
      <c r="D187" s="3" t="s">
        <v>23</v>
      </c>
      <c r="E187" s="3" t="s">
        <v>27</v>
      </c>
      <c r="F187" s="11">
        <v>15000</v>
      </c>
      <c r="G187" s="14">
        <v>3</v>
      </c>
      <c r="H187" s="3" t="s">
        <v>24</v>
      </c>
      <c r="I187" s="3" t="s">
        <v>31</v>
      </c>
      <c r="J187" s="3" t="str">
        <f>IFERROR(IF(AND(Table1[[#This Row],[Sales]]=0,Table1[[#This Row],[Quantity]]&lt;&gt;0),"Sales Missing",IF(AND(Table1[[#This Row],[Sales]]&lt;&gt;0,Table1[[#This Row],[Quantity]]=0),"Quantity Missing",IF(AND(Table1[[#This Row],[Sales]]=0,Table1[[#This Row],[Quantity]]=0),"Both Missing","Valid Response"))),"No Data")</f>
        <v>Valid Response</v>
      </c>
    </row>
    <row r="188" spans="2:10" x14ac:dyDescent="0.25">
      <c r="B188" s="17">
        <v>1183</v>
      </c>
      <c r="C188" s="4">
        <v>45720</v>
      </c>
      <c r="D188" s="3" t="s">
        <v>314</v>
      </c>
      <c r="E188" s="3" t="s">
        <v>10</v>
      </c>
      <c r="F188" s="11">
        <v>20000</v>
      </c>
      <c r="G188" s="14">
        <v>2</v>
      </c>
      <c r="H188" s="3" t="s">
        <v>46</v>
      </c>
      <c r="I188" s="3" t="s">
        <v>53</v>
      </c>
      <c r="J188" s="3" t="str">
        <f>IFERROR(IF(AND(Table1[[#This Row],[Sales]]=0,Table1[[#This Row],[Quantity]]&lt;&gt;0),"Sales Missing",IF(AND(Table1[[#This Row],[Sales]]&lt;&gt;0,Table1[[#This Row],[Quantity]]=0),"Quantity Missing",IF(AND(Table1[[#This Row],[Sales]]=0,Table1[[#This Row],[Quantity]]=0),"Both Missing","Valid Response"))),"No Data")</f>
        <v>Valid Response</v>
      </c>
    </row>
    <row r="189" spans="2:10" x14ac:dyDescent="0.25">
      <c r="B189" s="17">
        <v>1184</v>
      </c>
      <c r="C189" s="4">
        <v>45721</v>
      </c>
      <c r="D189" s="3" t="s">
        <v>23</v>
      </c>
      <c r="E189" s="3" t="s">
        <v>27</v>
      </c>
      <c r="F189" s="11">
        <v>20000</v>
      </c>
      <c r="G189" s="14">
        <v>2</v>
      </c>
      <c r="H189" s="3" t="s">
        <v>11</v>
      </c>
      <c r="I189" s="3" t="s">
        <v>29</v>
      </c>
      <c r="J189" s="3" t="str">
        <f>IFERROR(IF(AND(Table1[[#This Row],[Sales]]=0,Table1[[#This Row],[Quantity]]&lt;&gt;0),"Sales Missing",IF(AND(Table1[[#This Row],[Sales]]&lt;&gt;0,Table1[[#This Row],[Quantity]]=0),"Quantity Missing",IF(AND(Table1[[#This Row],[Sales]]=0,Table1[[#This Row],[Quantity]]=0),"Both Missing","Valid Response"))),"No Data")</f>
        <v>Valid Response</v>
      </c>
    </row>
    <row r="190" spans="2:10" x14ac:dyDescent="0.25">
      <c r="B190" s="17">
        <v>1185</v>
      </c>
      <c r="C190" s="4">
        <v>45722</v>
      </c>
      <c r="D190" s="3" t="s">
        <v>314</v>
      </c>
      <c r="E190" s="3" t="s">
        <v>19</v>
      </c>
      <c r="F190" s="11">
        <v>21000</v>
      </c>
      <c r="G190" s="14">
        <v>1</v>
      </c>
      <c r="H190" s="3" t="s">
        <v>34</v>
      </c>
      <c r="I190" s="3" t="s">
        <v>21</v>
      </c>
      <c r="J190" s="3" t="str">
        <f>IFERROR(IF(AND(Table1[[#This Row],[Sales]]=0,Table1[[#This Row],[Quantity]]&lt;&gt;0),"Sales Missing",IF(AND(Table1[[#This Row],[Sales]]&lt;&gt;0,Table1[[#This Row],[Quantity]]=0),"Quantity Missing",IF(AND(Table1[[#This Row],[Sales]]=0,Table1[[#This Row],[Quantity]]=0),"Both Missing","Valid Response"))),"No Data")</f>
        <v>Valid Response</v>
      </c>
    </row>
    <row r="191" spans="2:10" x14ac:dyDescent="0.25">
      <c r="B191" s="17">
        <v>1186</v>
      </c>
      <c r="C191" s="4">
        <v>45723</v>
      </c>
      <c r="D191" s="3" t="s">
        <v>45</v>
      </c>
      <c r="E191" s="3" t="s">
        <v>27</v>
      </c>
      <c r="F191" s="11">
        <v>15000</v>
      </c>
      <c r="G191" s="14">
        <v>3</v>
      </c>
      <c r="H191" s="3" t="s">
        <v>28</v>
      </c>
      <c r="I191" s="3" t="s">
        <v>53</v>
      </c>
      <c r="J191" s="3" t="str">
        <f>IFERROR(IF(AND(Table1[[#This Row],[Sales]]=0,Table1[[#This Row],[Quantity]]&lt;&gt;0),"Sales Missing",IF(AND(Table1[[#This Row],[Sales]]&lt;&gt;0,Table1[[#This Row],[Quantity]]=0),"Quantity Missing",IF(AND(Table1[[#This Row],[Sales]]=0,Table1[[#This Row],[Quantity]]=0),"Both Missing","Valid Response"))),"No Data")</f>
        <v>Valid Response</v>
      </c>
    </row>
    <row r="192" spans="2:10" x14ac:dyDescent="0.25">
      <c r="B192" s="17">
        <v>1187</v>
      </c>
      <c r="C192" s="4">
        <v>45724</v>
      </c>
      <c r="D192" s="3" t="s">
        <v>314</v>
      </c>
      <c r="E192" s="3" t="s">
        <v>27</v>
      </c>
      <c r="F192" s="11">
        <v>21000</v>
      </c>
      <c r="G192" s="14">
        <v>1</v>
      </c>
      <c r="H192" s="3" t="s">
        <v>46</v>
      </c>
      <c r="I192" s="3" t="s">
        <v>53</v>
      </c>
      <c r="J192" s="3" t="str">
        <f>IFERROR(IF(AND(Table1[[#This Row],[Sales]]=0,Table1[[#This Row],[Quantity]]&lt;&gt;0),"Sales Missing",IF(AND(Table1[[#This Row],[Sales]]&lt;&gt;0,Table1[[#This Row],[Quantity]]=0),"Quantity Missing",IF(AND(Table1[[#This Row],[Sales]]=0,Table1[[#This Row],[Quantity]]=0),"Both Missing","Valid Response"))),"No Data")</f>
        <v>Valid Response</v>
      </c>
    </row>
    <row r="193" spans="2:10" x14ac:dyDescent="0.25">
      <c r="B193" s="17">
        <v>1188</v>
      </c>
      <c r="C193" s="4">
        <v>45725</v>
      </c>
      <c r="D193" s="3" t="s">
        <v>33</v>
      </c>
      <c r="E193" s="3" t="s">
        <v>27</v>
      </c>
      <c r="F193" s="11">
        <v>52000</v>
      </c>
      <c r="G193" s="14">
        <v>0</v>
      </c>
      <c r="H193" s="3" t="s">
        <v>34</v>
      </c>
      <c r="I193" s="3" t="s">
        <v>53</v>
      </c>
      <c r="J193" s="3" t="str">
        <f>IFERROR(IF(AND(Table1[[#This Row],[Sales]]=0,Table1[[#This Row],[Quantity]]&lt;&gt;0),"Sales Missing",IF(AND(Table1[[#This Row],[Sales]]&lt;&gt;0,Table1[[#This Row],[Quantity]]=0),"Quantity Missing",IF(AND(Table1[[#This Row],[Sales]]=0,Table1[[#This Row],[Quantity]]=0),"Both Missing","Valid Response"))),"No Data")</f>
        <v>Quantity Missing</v>
      </c>
    </row>
    <row r="194" spans="2:10" x14ac:dyDescent="0.25">
      <c r="B194" s="17">
        <v>1189</v>
      </c>
      <c r="C194" s="4">
        <v>45726</v>
      </c>
      <c r="D194" s="3" t="s">
        <v>23</v>
      </c>
      <c r="E194" s="3" t="s">
        <v>10</v>
      </c>
      <c r="F194" s="11">
        <v>52000</v>
      </c>
      <c r="G194" s="14">
        <v>1</v>
      </c>
      <c r="H194" s="3" t="s">
        <v>38</v>
      </c>
      <c r="I194" s="3" t="s">
        <v>21</v>
      </c>
      <c r="J194" s="3" t="str">
        <f>IFERROR(IF(AND(Table1[[#This Row],[Sales]]=0,Table1[[#This Row],[Quantity]]&lt;&gt;0),"Sales Missing",IF(AND(Table1[[#This Row],[Sales]]&lt;&gt;0,Table1[[#This Row],[Quantity]]=0),"Quantity Missing",IF(AND(Table1[[#This Row],[Sales]]=0,Table1[[#This Row],[Quantity]]=0),"Both Missing","Valid Response"))),"No Data")</f>
        <v>Valid Response</v>
      </c>
    </row>
    <row r="195" spans="2:10" x14ac:dyDescent="0.25">
      <c r="B195" s="17">
        <v>1190</v>
      </c>
      <c r="C195" s="4">
        <v>45727</v>
      </c>
      <c r="D195" s="3" t="s">
        <v>45</v>
      </c>
      <c r="E195" s="3" t="s">
        <v>19</v>
      </c>
      <c r="F195" s="11">
        <v>15000</v>
      </c>
      <c r="G195" s="14">
        <v>2</v>
      </c>
      <c r="H195" s="3" t="s">
        <v>15</v>
      </c>
      <c r="I195" s="3" t="s">
        <v>21</v>
      </c>
      <c r="J195" s="3" t="str">
        <f>IFERROR(IF(AND(Table1[[#This Row],[Sales]]=0,Table1[[#This Row],[Quantity]]&lt;&gt;0),"Sales Missing",IF(AND(Table1[[#This Row],[Sales]]&lt;&gt;0,Table1[[#This Row],[Quantity]]=0),"Quantity Missing",IF(AND(Table1[[#This Row],[Sales]]=0,Table1[[#This Row],[Quantity]]=0),"Both Missing","Valid Response"))),"No Data")</f>
        <v>Valid Response</v>
      </c>
    </row>
    <row r="196" spans="2:10" x14ac:dyDescent="0.25">
      <c r="B196" s="17">
        <v>1191</v>
      </c>
      <c r="C196" s="4">
        <v>45728</v>
      </c>
      <c r="D196" s="3" t="s">
        <v>315</v>
      </c>
      <c r="E196" s="3" t="s">
        <v>10</v>
      </c>
      <c r="F196" s="11">
        <v>48000</v>
      </c>
      <c r="G196" s="14">
        <v>0</v>
      </c>
      <c r="H196" s="3" t="s">
        <v>11</v>
      </c>
      <c r="I196" s="3" t="s">
        <v>21</v>
      </c>
      <c r="J196" s="3" t="str">
        <f>IFERROR(IF(AND(Table1[[#This Row],[Sales]]=0,Table1[[#This Row],[Quantity]]&lt;&gt;0),"Sales Missing",IF(AND(Table1[[#This Row],[Sales]]&lt;&gt;0,Table1[[#This Row],[Quantity]]=0),"Quantity Missing",IF(AND(Table1[[#This Row],[Sales]]=0,Table1[[#This Row],[Quantity]]=0),"Both Missing","Valid Response"))),"No Data")</f>
        <v>Quantity Missing</v>
      </c>
    </row>
    <row r="197" spans="2:10" x14ac:dyDescent="0.25">
      <c r="B197" s="17">
        <v>1192</v>
      </c>
      <c r="C197" s="4">
        <v>45729</v>
      </c>
      <c r="D197" s="3" t="s">
        <v>33</v>
      </c>
      <c r="E197" s="3" t="s">
        <v>27</v>
      </c>
      <c r="F197" s="11">
        <v>20000</v>
      </c>
      <c r="G197" s="14">
        <v>2</v>
      </c>
      <c r="H197" s="3" t="s">
        <v>38</v>
      </c>
      <c r="I197" s="3" t="s">
        <v>31</v>
      </c>
      <c r="J197" s="3" t="str">
        <f>IFERROR(IF(AND(Table1[[#This Row],[Sales]]=0,Table1[[#This Row],[Quantity]]&lt;&gt;0),"Sales Missing",IF(AND(Table1[[#This Row],[Sales]]&lt;&gt;0,Table1[[#This Row],[Quantity]]=0),"Quantity Missing",IF(AND(Table1[[#This Row],[Sales]]=0,Table1[[#This Row],[Quantity]]=0),"Both Missing","Valid Response"))),"No Data")</f>
        <v>Valid Response</v>
      </c>
    </row>
    <row r="198" spans="2:10" x14ac:dyDescent="0.25">
      <c r="B198" s="17">
        <v>1193</v>
      </c>
      <c r="C198" s="4">
        <v>45730</v>
      </c>
      <c r="D198" s="3" t="s">
        <v>33</v>
      </c>
      <c r="E198" s="3" t="s">
        <v>19</v>
      </c>
      <c r="F198" s="11">
        <v>21000</v>
      </c>
      <c r="G198" s="14">
        <v>2</v>
      </c>
      <c r="H198" s="3" t="s">
        <v>34</v>
      </c>
      <c r="I198" s="3" t="s">
        <v>31</v>
      </c>
      <c r="J198" s="3" t="str">
        <f>IFERROR(IF(AND(Table1[[#This Row],[Sales]]=0,Table1[[#This Row],[Quantity]]&lt;&gt;0),"Sales Missing",IF(AND(Table1[[#This Row],[Sales]]&lt;&gt;0,Table1[[#This Row],[Quantity]]=0),"Quantity Missing",IF(AND(Table1[[#This Row],[Sales]]=0,Table1[[#This Row],[Quantity]]=0),"Both Missing","Valid Response"))),"No Data")</f>
        <v>Valid Response</v>
      </c>
    </row>
    <row r="199" spans="2:10" x14ac:dyDescent="0.25">
      <c r="B199" s="17">
        <v>1194</v>
      </c>
      <c r="C199" s="4">
        <v>45731</v>
      </c>
      <c r="D199" s="3" t="s">
        <v>314</v>
      </c>
      <c r="E199" s="3" t="s">
        <v>27</v>
      </c>
      <c r="F199" s="11">
        <v>53000</v>
      </c>
      <c r="G199" s="14">
        <v>1</v>
      </c>
      <c r="H199" s="3" t="s">
        <v>46</v>
      </c>
      <c r="I199" s="3" t="s">
        <v>21</v>
      </c>
      <c r="J199" s="3" t="str">
        <f>IFERROR(IF(AND(Table1[[#This Row],[Sales]]=0,Table1[[#This Row],[Quantity]]&lt;&gt;0),"Sales Missing",IF(AND(Table1[[#This Row],[Sales]]&lt;&gt;0,Table1[[#This Row],[Quantity]]=0),"Quantity Missing",IF(AND(Table1[[#This Row],[Sales]]=0,Table1[[#This Row],[Quantity]]=0),"Both Missing","Valid Response"))),"No Data")</f>
        <v>Valid Response</v>
      </c>
    </row>
    <row r="200" spans="2:10" x14ac:dyDescent="0.25">
      <c r="B200" s="17">
        <v>1195</v>
      </c>
      <c r="C200" s="4">
        <v>45732</v>
      </c>
      <c r="D200" s="3" t="s">
        <v>45</v>
      </c>
      <c r="E200" s="3" t="s">
        <v>19</v>
      </c>
      <c r="F200" s="11">
        <v>21000</v>
      </c>
      <c r="G200" s="14">
        <v>1</v>
      </c>
      <c r="H200" s="3" t="s">
        <v>20</v>
      </c>
      <c r="I200" s="3" t="s">
        <v>29</v>
      </c>
      <c r="J200" s="3" t="str">
        <f>IFERROR(IF(AND(Table1[[#This Row],[Sales]]=0,Table1[[#This Row],[Quantity]]&lt;&gt;0),"Sales Missing",IF(AND(Table1[[#This Row],[Sales]]&lt;&gt;0,Table1[[#This Row],[Quantity]]=0),"Quantity Missing",IF(AND(Table1[[#This Row],[Sales]]=0,Table1[[#This Row],[Quantity]]=0),"Both Missing","Valid Response"))),"No Data")</f>
        <v>Valid Response</v>
      </c>
    </row>
    <row r="201" spans="2:10" x14ac:dyDescent="0.25">
      <c r="B201" s="17">
        <v>1196</v>
      </c>
      <c r="C201" s="4">
        <v>45733</v>
      </c>
      <c r="D201" s="3" t="s">
        <v>315</v>
      </c>
      <c r="E201" s="3" t="s">
        <v>19</v>
      </c>
      <c r="F201" s="11">
        <v>0</v>
      </c>
      <c r="G201" s="14">
        <v>0</v>
      </c>
      <c r="H201" s="3" t="s">
        <v>28</v>
      </c>
      <c r="I201" s="3" t="s">
        <v>53</v>
      </c>
      <c r="J201" s="3" t="str">
        <f>IFERROR(IF(AND(Table1[[#This Row],[Sales]]=0,Table1[[#This Row],[Quantity]]&lt;&gt;0),"Sales Missing",IF(AND(Table1[[#This Row],[Sales]]&lt;&gt;0,Table1[[#This Row],[Quantity]]=0),"Quantity Missing",IF(AND(Table1[[#This Row],[Sales]]=0,Table1[[#This Row],[Quantity]]=0),"Both Missing","Valid Response"))),"No Data")</f>
        <v>Both Missing</v>
      </c>
    </row>
    <row r="202" spans="2:10" x14ac:dyDescent="0.25">
      <c r="B202" s="17">
        <v>1197</v>
      </c>
      <c r="C202" s="4">
        <v>45734</v>
      </c>
      <c r="D202" s="3" t="s">
        <v>23</v>
      </c>
      <c r="E202" s="3" t="s">
        <v>19</v>
      </c>
      <c r="F202" s="11">
        <v>15000</v>
      </c>
      <c r="G202" s="14">
        <v>3</v>
      </c>
      <c r="H202" s="3" t="s">
        <v>38</v>
      </c>
      <c r="I202" s="3" t="s">
        <v>29</v>
      </c>
      <c r="J202" s="3" t="str">
        <f>IFERROR(IF(AND(Table1[[#This Row],[Sales]]=0,Table1[[#This Row],[Quantity]]&lt;&gt;0),"Sales Missing",IF(AND(Table1[[#This Row],[Sales]]&lt;&gt;0,Table1[[#This Row],[Quantity]]=0),"Quantity Missing",IF(AND(Table1[[#This Row],[Sales]]=0,Table1[[#This Row],[Quantity]]=0),"Both Missing","Valid Response"))),"No Data")</f>
        <v>Valid Response</v>
      </c>
    </row>
    <row r="203" spans="2:10" x14ac:dyDescent="0.25">
      <c r="B203" s="17">
        <v>1198</v>
      </c>
      <c r="C203" s="4">
        <v>45735</v>
      </c>
      <c r="D203" s="3" t="s">
        <v>33</v>
      </c>
      <c r="E203" s="3" t="s">
        <v>27</v>
      </c>
      <c r="F203" s="11">
        <v>48000</v>
      </c>
      <c r="G203" s="14">
        <v>3</v>
      </c>
      <c r="H203" s="3" t="s">
        <v>20</v>
      </c>
      <c r="I203" s="3" t="s">
        <v>53</v>
      </c>
      <c r="J203" s="3" t="str">
        <f>IFERROR(IF(AND(Table1[[#This Row],[Sales]]=0,Table1[[#This Row],[Quantity]]&lt;&gt;0),"Sales Missing",IF(AND(Table1[[#This Row],[Sales]]&lt;&gt;0,Table1[[#This Row],[Quantity]]=0),"Quantity Missing",IF(AND(Table1[[#This Row],[Sales]]=0,Table1[[#This Row],[Quantity]]=0),"Both Missing","Valid Response"))),"No Data")</f>
        <v>Valid Response</v>
      </c>
    </row>
    <row r="204" spans="2:10" x14ac:dyDescent="0.25">
      <c r="B204" s="17">
        <v>1199</v>
      </c>
      <c r="C204" s="4">
        <v>45736</v>
      </c>
      <c r="D204" s="3" t="s">
        <v>45</v>
      </c>
      <c r="E204" s="3" t="s">
        <v>19</v>
      </c>
      <c r="F204" s="11">
        <v>21000</v>
      </c>
      <c r="G204" s="14">
        <v>0</v>
      </c>
      <c r="H204" s="3" t="s">
        <v>15</v>
      </c>
      <c r="I204" s="3" t="s">
        <v>21</v>
      </c>
      <c r="J204" s="3" t="str">
        <f>IFERROR(IF(AND(Table1[[#This Row],[Sales]]=0,Table1[[#This Row],[Quantity]]&lt;&gt;0),"Sales Missing",IF(AND(Table1[[#This Row],[Sales]]&lt;&gt;0,Table1[[#This Row],[Quantity]]=0),"Quantity Missing",IF(AND(Table1[[#This Row],[Sales]]=0,Table1[[#This Row],[Quantity]]=0),"Both Missing","Valid Response"))),"No Data")</f>
        <v>Quantity Missing</v>
      </c>
    </row>
    <row r="205" spans="2:10" x14ac:dyDescent="0.25">
      <c r="B205" s="17">
        <v>1200</v>
      </c>
      <c r="C205" s="4">
        <v>45737</v>
      </c>
      <c r="D205" s="3" t="s">
        <v>23</v>
      </c>
      <c r="E205" s="3" t="s">
        <v>27</v>
      </c>
      <c r="F205" s="11">
        <v>20000</v>
      </c>
      <c r="G205" s="14">
        <v>3</v>
      </c>
      <c r="H205" s="3" t="s">
        <v>38</v>
      </c>
      <c r="I205" s="3" t="s">
        <v>21</v>
      </c>
      <c r="J205" s="3" t="str">
        <f>IFERROR(IF(AND(Table1[[#This Row],[Sales]]=0,Table1[[#This Row],[Quantity]]&lt;&gt;0),"Sales Missing",IF(AND(Table1[[#This Row],[Sales]]&lt;&gt;0,Table1[[#This Row],[Quantity]]=0),"Quantity Missing",IF(AND(Table1[[#This Row],[Sales]]=0,Table1[[#This Row],[Quantity]]=0),"Both Missing","Valid Response"))),"No Data")</f>
        <v>Valid Response</v>
      </c>
    </row>
    <row r="206" spans="2:10" x14ac:dyDescent="0.25">
      <c r="B206" s="17">
        <v>1201</v>
      </c>
      <c r="C206" s="4">
        <v>45738</v>
      </c>
      <c r="D206" s="3" t="s">
        <v>33</v>
      </c>
      <c r="E206" s="3" t="s">
        <v>27</v>
      </c>
      <c r="F206" s="11">
        <v>15000</v>
      </c>
      <c r="G206" s="14">
        <v>2</v>
      </c>
      <c r="H206" s="3" t="s">
        <v>28</v>
      </c>
      <c r="I206" s="3" t="s">
        <v>21</v>
      </c>
      <c r="J206" s="3" t="str">
        <f>IFERROR(IF(AND(Table1[[#This Row],[Sales]]=0,Table1[[#This Row],[Quantity]]&lt;&gt;0),"Sales Missing",IF(AND(Table1[[#This Row],[Sales]]&lt;&gt;0,Table1[[#This Row],[Quantity]]=0),"Quantity Missing",IF(AND(Table1[[#This Row],[Sales]]=0,Table1[[#This Row],[Quantity]]=0),"Both Missing","Valid Response"))),"No Data")</f>
        <v>Valid Response</v>
      </c>
    </row>
    <row r="207" spans="2:10" x14ac:dyDescent="0.25">
      <c r="B207" s="17">
        <v>1202</v>
      </c>
      <c r="C207" s="4">
        <v>45739</v>
      </c>
      <c r="D207" s="3" t="s">
        <v>23</v>
      </c>
      <c r="E207" s="3" t="s">
        <v>10</v>
      </c>
      <c r="F207" s="11">
        <v>21000</v>
      </c>
      <c r="G207" s="14">
        <v>2</v>
      </c>
      <c r="H207" s="3" t="s">
        <v>20</v>
      </c>
      <c r="I207" s="3" t="s">
        <v>29</v>
      </c>
      <c r="J207" s="3" t="str">
        <f>IFERROR(IF(AND(Table1[[#This Row],[Sales]]=0,Table1[[#This Row],[Quantity]]&lt;&gt;0),"Sales Missing",IF(AND(Table1[[#This Row],[Sales]]&lt;&gt;0,Table1[[#This Row],[Quantity]]=0),"Quantity Missing",IF(AND(Table1[[#This Row],[Sales]]=0,Table1[[#This Row],[Quantity]]=0),"Both Missing","Valid Response"))),"No Data")</f>
        <v>Valid Response</v>
      </c>
    </row>
    <row r="208" spans="2:10" x14ac:dyDescent="0.25">
      <c r="B208" s="17">
        <v>1203</v>
      </c>
      <c r="C208" s="4">
        <v>45740</v>
      </c>
      <c r="D208" s="3" t="s">
        <v>33</v>
      </c>
      <c r="E208" s="3" t="s">
        <v>27</v>
      </c>
      <c r="F208" s="11">
        <v>53000</v>
      </c>
      <c r="G208" s="14">
        <v>0</v>
      </c>
      <c r="H208" s="3" t="s">
        <v>24</v>
      </c>
      <c r="I208" s="3" t="s">
        <v>21</v>
      </c>
      <c r="J208" s="3" t="str">
        <f>IFERROR(IF(AND(Table1[[#This Row],[Sales]]=0,Table1[[#This Row],[Quantity]]&lt;&gt;0),"Sales Missing",IF(AND(Table1[[#This Row],[Sales]]&lt;&gt;0,Table1[[#This Row],[Quantity]]=0),"Quantity Missing",IF(AND(Table1[[#This Row],[Sales]]=0,Table1[[#This Row],[Quantity]]=0),"Both Missing","Valid Response"))),"No Data")</f>
        <v>Quantity Missing</v>
      </c>
    </row>
    <row r="209" spans="2:10" x14ac:dyDescent="0.25">
      <c r="B209" s="17">
        <v>1204</v>
      </c>
      <c r="C209" s="4">
        <v>45741</v>
      </c>
      <c r="D209" s="3" t="s">
        <v>33</v>
      </c>
      <c r="E209" s="3" t="s">
        <v>19</v>
      </c>
      <c r="F209" s="11">
        <v>53000</v>
      </c>
      <c r="G209" s="14">
        <v>3</v>
      </c>
      <c r="H209" s="3" t="s">
        <v>11</v>
      </c>
      <c r="I209" s="3" t="s">
        <v>53</v>
      </c>
      <c r="J209" s="3" t="str">
        <f>IFERROR(IF(AND(Table1[[#This Row],[Sales]]=0,Table1[[#This Row],[Quantity]]&lt;&gt;0),"Sales Missing",IF(AND(Table1[[#This Row],[Sales]]&lt;&gt;0,Table1[[#This Row],[Quantity]]=0),"Quantity Missing",IF(AND(Table1[[#This Row],[Sales]]=0,Table1[[#This Row],[Quantity]]=0),"Both Missing","Valid Response"))),"No Data")</f>
        <v>Valid Response</v>
      </c>
    </row>
    <row r="210" spans="2:10" x14ac:dyDescent="0.25">
      <c r="B210" s="17">
        <v>1205</v>
      </c>
      <c r="C210" s="4">
        <v>45742</v>
      </c>
      <c r="D210" s="3" t="s">
        <v>45</v>
      </c>
      <c r="E210" s="3" t="s">
        <v>27</v>
      </c>
      <c r="F210" s="11">
        <v>15000</v>
      </c>
      <c r="G210" s="14">
        <v>0</v>
      </c>
      <c r="H210" s="3" t="s">
        <v>15</v>
      </c>
      <c r="I210" s="3" t="s">
        <v>53</v>
      </c>
      <c r="J210" s="3" t="str">
        <f>IFERROR(IF(AND(Table1[[#This Row],[Sales]]=0,Table1[[#This Row],[Quantity]]&lt;&gt;0),"Sales Missing",IF(AND(Table1[[#This Row],[Sales]]&lt;&gt;0,Table1[[#This Row],[Quantity]]=0),"Quantity Missing",IF(AND(Table1[[#This Row],[Sales]]=0,Table1[[#This Row],[Quantity]]=0),"Both Missing","Valid Response"))),"No Data")</f>
        <v>Quantity Missing</v>
      </c>
    </row>
    <row r="211" spans="2:10" x14ac:dyDescent="0.25">
      <c r="B211" s="17">
        <v>1206</v>
      </c>
      <c r="C211" s="4">
        <v>45743</v>
      </c>
      <c r="D211" s="3" t="s">
        <v>33</v>
      </c>
      <c r="E211" s="3" t="s">
        <v>10</v>
      </c>
      <c r="F211" s="11">
        <v>48000</v>
      </c>
      <c r="G211" s="14">
        <v>0</v>
      </c>
      <c r="H211" s="3" t="s">
        <v>38</v>
      </c>
      <c r="I211" s="3" t="s">
        <v>21</v>
      </c>
      <c r="J211" s="3" t="str">
        <f>IFERROR(IF(AND(Table1[[#This Row],[Sales]]=0,Table1[[#This Row],[Quantity]]&lt;&gt;0),"Sales Missing",IF(AND(Table1[[#This Row],[Sales]]&lt;&gt;0,Table1[[#This Row],[Quantity]]=0),"Quantity Missing",IF(AND(Table1[[#This Row],[Sales]]=0,Table1[[#This Row],[Quantity]]=0),"Both Missing","Valid Response"))),"No Data")</f>
        <v>Quantity Missing</v>
      </c>
    </row>
    <row r="212" spans="2:10" x14ac:dyDescent="0.25">
      <c r="B212" s="17">
        <v>1207</v>
      </c>
      <c r="C212" s="4">
        <v>45744</v>
      </c>
      <c r="D212" s="3" t="s">
        <v>315</v>
      </c>
      <c r="E212" s="3" t="s">
        <v>27</v>
      </c>
      <c r="F212" s="11">
        <v>48000</v>
      </c>
      <c r="G212" s="14">
        <v>2</v>
      </c>
      <c r="H212" s="3" t="s">
        <v>28</v>
      </c>
      <c r="I212" s="3" t="s">
        <v>21</v>
      </c>
      <c r="J212" s="3" t="str">
        <f>IFERROR(IF(AND(Table1[[#This Row],[Sales]]=0,Table1[[#This Row],[Quantity]]&lt;&gt;0),"Sales Missing",IF(AND(Table1[[#This Row],[Sales]]&lt;&gt;0,Table1[[#This Row],[Quantity]]=0),"Quantity Missing",IF(AND(Table1[[#This Row],[Sales]]=0,Table1[[#This Row],[Quantity]]=0),"Both Missing","Valid Response"))),"No Data")</f>
        <v>Valid Response</v>
      </c>
    </row>
    <row r="213" spans="2:10" x14ac:dyDescent="0.25">
      <c r="B213" s="17">
        <v>1208</v>
      </c>
      <c r="C213" s="4">
        <v>45745</v>
      </c>
      <c r="D213" s="3" t="s">
        <v>23</v>
      </c>
      <c r="E213" s="3" t="s">
        <v>19</v>
      </c>
      <c r="F213" s="11">
        <v>15000</v>
      </c>
      <c r="G213" s="14">
        <v>3</v>
      </c>
      <c r="H213" s="3" t="s">
        <v>11</v>
      </c>
      <c r="I213" s="3" t="s">
        <v>29</v>
      </c>
      <c r="J213" s="3" t="str">
        <f>IFERROR(IF(AND(Table1[[#This Row],[Sales]]=0,Table1[[#This Row],[Quantity]]&lt;&gt;0),"Sales Missing",IF(AND(Table1[[#This Row],[Sales]]&lt;&gt;0,Table1[[#This Row],[Quantity]]=0),"Quantity Missing",IF(AND(Table1[[#This Row],[Sales]]=0,Table1[[#This Row],[Quantity]]=0),"Both Missing","Valid Response"))),"No Data")</f>
        <v>Valid Response</v>
      </c>
    </row>
    <row r="214" spans="2:10" x14ac:dyDescent="0.25">
      <c r="B214" s="17">
        <v>1209</v>
      </c>
      <c r="C214" s="4">
        <v>45746</v>
      </c>
      <c r="D214" s="3" t="s">
        <v>314</v>
      </c>
      <c r="E214" s="3" t="s">
        <v>10</v>
      </c>
      <c r="F214" s="11">
        <v>21000</v>
      </c>
      <c r="G214" s="14">
        <v>1</v>
      </c>
      <c r="H214" s="3" t="s">
        <v>28</v>
      </c>
      <c r="I214" s="3" t="s">
        <v>21</v>
      </c>
      <c r="J214" s="3" t="str">
        <f>IFERROR(IF(AND(Table1[[#This Row],[Sales]]=0,Table1[[#This Row],[Quantity]]&lt;&gt;0),"Sales Missing",IF(AND(Table1[[#This Row],[Sales]]&lt;&gt;0,Table1[[#This Row],[Quantity]]=0),"Quantity Missing",IF(AND(Table1[[#This Row],[Sales]]=0,Table1[[#This Row],[Quantity]]=0),"Both Missing","Valid Response"))),"No Data")</f>
        <v>Valid Response</v>
      </c>
    </row>
    <row r="215" spans="2:10" x14ac:dyDescent="0.25">
      <c r="B215" s="17">
        <v>1210</v>
      </c>
      <c r="C215" s="4">
        <v>45747</v>
      </c>
      <c r="D215" s="3" t="s">
        <v>33</v>
      </c>
      <c r="E215" s="3" t="s">
        <v>19</v>
      </c>
      <c r="F215" s="11">
        <v>53000</v>
      </c>
      <c r="G215" s="14">
        <v>0</v>
      </c>
      <c r="H215" s="3" t="s">
        <v>34</v>
      </c>
      <c r="I215" s="3" t="s">
        <v>53</v>
      </c>
      <c r="J215" s="3" t="str">
        <f>IFERROR(IF(AND(Table1[[#This Row],[Sales]]=0,Table1[[#This Row],[Quantity]]&lt;&gt;0),"Sales Missing",IF(AND(Table1[[#This Row],[Sales]]&lt;&gt;0,Table1[[#This Row],[Quantity]]=0),"Quantity Missing",IF(AND(Table1[[#This Row],[Sales]]=0,Table1[[#This Row],[Quantity]]=0),"Both Missing","Valid Response"))),"No Data")</f>
        <v>Quantity Missing</v>
      </c>
    </row>
    <row r="216" spans="2:10" x14ac:dyDescent="0.25">
      <c r="B216" s="17">
        <v>1211</v>
      </c>
      <c r="C216" s="4">
        <v>45748</v>
      </c>
      <c r="D216" s="3" t="s">
        <v>33</v>
      </c>
      <c r="E216" s="3" t="s">
        <v>19</v>
      </c>
      <c r="F216" s="11">
        <v>48000</v>
      </c>
      <c r="G216" s="14">
        <v>0</v>
      </c>
      <c r="H216" s="3" t="s">
        <v>28</v>
      </c>
      <c r="I216" s="3" t="s">
        <v>29</v>
      </c>
      <c r="J216" s="3" t="str">
        <f>IFERROR(IF(AND(Table1[[#This Row],[Sales]]=0,Table1[[#This Row],[Quantity]]&lt;&gt;0),"Sales Missing",IF(AND(Table1[[#This Row],[Sales]]&lt;&gt;0,Table1[[#This Row],[Quantity]]=0),"Quantity Missing",IF(AND(Table1[[#This Row],[Sales]]=0,Table1[[#This Row],[Quantity]]=0),"Both Missing","Valid Response"))),"No Data")</f>
        <v>Quantity Missing</v>
      </c>
    </row>
    <row r="217" spans="2:10" x14ac:dyDescent="0.25">
      <c r="B217" s="17">
        <v>1212</v>
      </c>
      <c r="C217" s="4">
        <v>45749</v>
      </c>
      <c r="D217" s="3" t="s">
        <v>23</v>
      </c>
      <c r="E217" s="3" t="s">
        <v>19</v>
      </c>
      <c r="F217" s="11">
        <v>53000</v>
      </c>
      <c r="G217" s="14">
        <v>0</v>
      </c>
      <c r="H217" s="3" t="s">
        <v>46</v>
      </c>
      <c r="I217" s="3" t="s">
        <v>29</v>
      </c>
      <c r="J217" s="3" t="str">
        <f>IFERROR(IF(AND(Table1[[#This Row],[Sales]]=0,Table1[[#This Row],[Quantity]]&lt;&gt;0),"Sales Missing",IF(AND(Table1[[#This Row],[Sales]]&lt;&gt;0,Table1[[#This Row],[Quantity]]=0),"Quantity Missing",IF(AND(Table1[[#This Row],[Sales]]=0,Table1[[#This Row],[Quantity]]=0),"Both Missing","Valid Response"))),"No Data")</f>
        <v>Quantity Missing</v>
      </c>
    </row>
    <row r="218" spans="2:10" x14ac:dyDescent="0.25">
      <c r="B218" s="17">
        <v>1213</v>
      </c>
      <c r="C218" s="4">
        <v>45750</v>
      </c>
      <c r="D218" s="3" t="s">
        <v>23</v>
      </c>
      <c r="E218" s="3" t="s">
        <v>19</v>
      </c>
      <c r="F218" s="11">
        <v>52000</v>
      </c>
      <c r="G218" s="14">
        <v>1</v>
      </c>
      <c r="H218" s="3" t="s">
        <v>11</v>
      </c>
      <c r="I218" s="3" t="s">
        <v>31</v>
      </c>
      <c r="J218" s="3" t="str">
        <f>IFERROR(IF(AND(Table1[[#This Row],[Sales]]=0,Table1[[#This Row],[Quantity]]&lt;&gt;0),"Sales Missing",IF(AND(Table1[[#This Row],[Sales]]&lt;&gt;0,Table1[[#This Row],[Quantity]]=0),"Quantity Missing",IF(AND(Table1[[#This Row],[Sales]]=0,Table1[[#This Row],[Quantity]]=0),"Both Missing","Valid Response"))),"No Data")</f>
        <v>Valid Response</v>
      </c>
    </row>
    <row r="219" spans="2:10" x14ac:dyDescent="0.25">
      <c r="B219" s="17">
        <v>1214</v>
      </c>
      <c r="C219" s="4">
        <v>45751</v>
      </c>
      <c r="D219" s="3" t="s">
        <v>23</v>
      </c>
      <c r="E219" s="3" t="s">
        <v>10</v>
      </c>
      <c r="F219" s="11">
        <v>20000</v>
      </c>
      <c r="G219" s="14">
        <v>1</v>
      </c>
      <c r="H219" s="3" t="s">
        <v>34</v>
      </c>
      <c r="I219" s="3" t="s">
        <v>21</v>
      </c>
      <c r="J219" s="3" t="str">
        <f>IFERROR(IF(AND(Table1[[#This Row],[Sales]]=0,Table1[[#This Row],[Quantity]]&lt;&gt;0),"Sales Missing",IF(AND(Table1[[#This Row],[Sales]]&lt;&gt;0,Table1[[#This Row],[Quantity]]=0),"Quantity Missing",IF(AND(Table1[[#This Row],[Sales]]=0,Table1[[#This Row],[Quantity]]=0),"Both Missing","Valid Response"))),"No Data")</f>
        <v>Valid Response</v>
      </c>
    </row>
    <row r="220" spans="2:10" x14ac:dyDescent="0.25">
      <c r="B220" s="17">
        <v>1215</v>
      </c>
      <c r="C220" s="4">
        <v>45752</v>
      </c>
      <c r="D220" s="3" t="s">
        <v>23</v>
      </c>
      <c r="E220" s="3" t="s">
        <v>10</v>
      </c>
      <c r="F220" s="11">
        <v>52000</v>
      </c>
      <c r="G220" s="14">
        <v>2</v>
      </c>
      <c r="H220" s="3" t="s">
        <v>20</v>
      </c>
      <c r="I220" s="3" t="s">
        <v>29</v>
      </c>
      <c r="J220" s="3" t="str">
        <f>IFERROR(IF(AND(Table1[[#This Row],[Sales]]=0,Table1[[#This Row],[Quantity]]&lt;&gt;0),"Sales Missing",IF(AND(Table1[[#This Row],[Sales]]&lt;&gt;0,Table1[[#This Row],[Quantity]]=0),"Quantity Missing",IF(AND(Table1[[#This Row],[Sales]]=0,Table1[[#This Row],[Quantity]]=0),"Both Missing","Valid Response"))),"No Data")</f>
        <v>Valid Response</v>
      </c>
    </row>
    <row r="221" spans="2:10" x14ac:dyDescent="0.25">
      <c r="B221" s="17">
        <v>1216</v>
      </c>
      <c r="C221" s="4">
        <v>45753</v>
      </c>
      <c r="D221" s="3" t="s">
        <v>23</v>
      </c>
      <c r="E221" s="3" t="s">
        <v>10</v>
      </c>
      <c r="F221" s="11">
        <v>55000</v>
      </c>
      <c r="G221" s="14">
        <v>3</v>
      </c>
      <c r="H221" s="3" t="s">
        <v>20</v>
      </c>
      <c r="I221" s="3" t="s">
        <v>29</v>
      </c>
      <c r="J221" s="3" t="str">
        <f>IFERROR(IF(AND(Table1[[#This Row],[Sales]]=0,Table1[[#This Row],[Quantity]]&lt;&gt;0),"Sales Missing",IF(AND(Table1[[#This Row],[Sales]]&lt;&gt;0,Table1[[#This Row],[Quantity]]=0),"Quantity Missing",IF(AND(Table1[[#This Row],[Sales]]=0,Table1[[#This Row],[Quantity]]=0),"Both Missing","Valid Response"))),"No Data")</f>
        <v>Valid Response</v>
      </c>
    </row>
    <row r="222" spans="2:10" x14ac:dyDescent="0.25">
      <c r="B222" s="17">
        <v>1217</v>
      </c>
      <c r="C222" s="4">
        <v>45754</v>
      </c>
      <c r="D222" s="3" t="s">
        <v>33</v>
      </c>
      <c r="E222" s="3" t="s">
        <v>27</v>
      </c>
      <c r="F222" s="11">
        <v>20000</v>
      </c>
      <c r="G222" s="14">
        <v>0</v>
      </c>
      <c r="H222" s="3" t="s">
        <v>38</v>
      </c>
      <c r="I222" s="3" t="s">
        <v>29</v>
      </c>
      <c r="J222" s="3" t="str">
        <f>IFERROR(IF(AND(Table1[[#This Row],[Sales]]=0,Table1[[#This Row],[Quantity]]&lt;&gt;0),"Sales Missing",IF(AND(Table1[[#This Row],[Sales]]&lt;&gt;0,Table1[[#This Row],[Quantity]]=0),"Quantity Missing",IF(AND(Table1[[#This Row],[Sales]]=0,Table1[[#This Row],[Quantity]]=0),"Both Missing","Valid Response"))),"No Data")</f>
        <v>Quantity Missing</v>
      </c>
    </row>
    <row r="223" spans="2:10" x14ac:dyDescent="0.25">
      <c r="B223" s="17">
        <v>1218</v>
      </c>
      <c r="C223" s="4">
        <v>45755</v>
      </c>
      <c r="D223" s="3" t="s">
        <v>33</v>
      </c>
      <c r="E223" s="3" t="s">
        <v>19</v>
      </c>
      <c r="F223" s="11">
        <v>20000</v>
      </c>
      <c r="G223" s="14">
        <v>2</v>
      </c>
      <c r="H223" s="3" t="s">
        <v>11</v>
      </c>
      <c r="I223" s="3" t="s">
        <v>53</v>
      </c>
      <c r="J223" s="3" t="str">
        <f>IFERROR(IF(AND(Table1[[#This Row],[Sales]]=0,Table1[[#This Row],[Quantity]]&lt;&gt;0),"Sales Missing",IF(AND(Table1[[#This Row],[Sales]]&lt;&gt;0,Table1[[#This Row],[Quantity]]=0),"Quantity Missing",IF(AND(Table1[[#This Row],[Sales]]=0,Table1[[#This Row],[Quantity]]=0),"Both Missing","Valid Response"))),"No Data")</f>
        <v>Valid Response</v>
      </c>
    </row>
    <row r="224" spans="2:10" x14ac:dyDescent="0.25">
      <c r="B224" s="17">
        <v>1219</v>
      </c>
      <c r="C224" s="4">
        <v>45756</v>
      </c>
      <c r="D224" s="3" t="s">
        <v>314</v>
      </c>
      <c r="E224" s="3" t="s">
        <v>19</v>
      </c>
      <c r="F224" s="11">
        <v>53000</v>
      </c>
      <c r="G224" s="14">
        <v>2</v>
      </c>
      <c r="H224" s="3" t="s">
        <v>28</v>
      </c>
      <c r="I224" s="3" t="s">
        <v>53</v>
      </c>
      <c r="J224" s="3" t="str">
        <f>IFERROR(IF(AND(Table1[[#This Row],[Sales]]=0,Table1[[#This Row],[Quantity]]&lt;&gt;0),"Sales Missing",IF(AND(Table1[[#This Row],[Sales]]&lt;&gt;0,Table1[[#This Row],[Quantity]]=0),"Quantity Missing",IF(AND(Table1[[#This Row],[Sales]]=0,Table1[[#This Row],[Quantity]]=0),"Both Missing","Valid Response"))),"No Data")</f>
        <v>Valid Response</v>
      </c>
    </row>
    <row r="225" spans="2:10" x14ac:dyDescent="0.25">
      <c r="B225" s="17">
        <v>1220</v>
      </c>
      <c r="C225" s="4">
        <v>45757</v>
      </c>
      <c r="D225" s="3" t="s">
        <v>23</v>
      </c>
      <c r="E225" s="3" t="s">
        <v>27</v>
      </c>
      <c r="F225" s="11">
        <v>0</v>
      </c>
      <c r="G225" s="14">
        <v>1</v>
      </c>
      <c r="H225" s="3" t="s">
        <v>11</v>
      </c>
      <c r="I225" s="3" t="s">
        <v>21</v>
      </c>
      <c r="J225" s="3" t="str">
        <f>IFERROR(IF(AND(Table1[[#This Row],[Sales]]=0,Table1[[#This Row],[Quantity]]&lt;&gt;0),"Sales Missing",IF(AND(Table1[[#This Row],[Sales]]&lt;&gt;0,Table1[[#This Row],[Quantity]]=0),"Quantity Missing",IF(AND(Table1[[#This Row],[Sales]]=0,Table1[[#This Row],[Quantity]]=0),"Both Missing","Valid Response"))),"No Data")</f>
        <v>Sales Missing</v>
      </c>
    </row>
    <row r="226" spans="2:10" x14ac:dyDescent="0.25">
      <c r="B226" s="17">
        <v>1221</v>
      </c>
      <c r="C226" s="4">
        <v>45758</v>
      </c>
      <c r="D226" s="3" t="s">
        <v>23</v>
      </c>
      <c r="E226" s="3" t="s">
        <v>19</v>
      </c>
      <c r="F226" s="11">
        <v>20000</v>
      </c>
      <c r="G226" s="14">
        <v>2</v>
      </c>
      <c r="H226" s="3" t="s">
        <v>34</v>
      </c>
      <c r="I226" s="3" t="s">
        <v>21</v>
      </c>
      <c r="J226" s="3" t="str">
        <f>IFERROR(IF(AND(Table1[[#This Row],[Sales]]=0,Table1[[#This Row],[Quantity]]&lt;&gt;0),"Sales Missing",IF(AND(Table1[[#This Row],[Sales]]&lt;&gt;0,Table1[[#This Row],[Quantity]]=0),"Quantity Missing",IF(AND(Table1[[#This Row],[Sales]]=0,Table1[[#This Row],[Quantity]]=0),"Both Missing","Valid Response"))),"No Data")</f>
        <v>Valid Response</v>
      </c>
    </row>
    <row r="227" spans="2:10" x14ac:dyDescent="0.25">
      <c r="B227" s="17">
        <v>1222</v>
      </c>
      <c r="C227" s="4">
        <v>45759</v>
      </c>
      <c r="D227" s="3" t="s">
        <v>45</v>
      </c>
      <c r="E227" s="3" t="s">
        <v>19</v>
      </c>
      <c r="F227" s="11">
        <v>15000</v>
      </c>
      <c r="G227" s="14">
        <v>2</v>
      </c>
      <c r="H227" s="3" t="s">
        <v>46</v>
      </c>
      <c r="I227" s="3" t="s">
        <v>21</v>
      </c>
      <c r="J227" s="3" t="str">
        <f>IFERROR(IF(AND(Table1[[#This Row],[Sales]]=0,Table1[[#This Row],[Quantity]]&lt;&gt;0),"Sales Missing",IF(AND(Table1[[#This Row],[Sales]]&lt;&gt;0,Table1[[#This Row],[Quantity]]=0),"Quantity Missing",IF(AND(Table1[[#This Row],[Sales]]=0,Table1[[#This Row],[Quantity]]=0),"Both Missing","Valid Response"))),"No Data")</f>
        <v>Valid Response</v>
      </c>
    </row>
    <row r="228" spans="2:10" x14ac:dyDescent="0.25">
      <c r="B228" s="17">
        <v>1223</v>
      </c>
      <c r="C228" s="4">
        <v>45760</v>
      </c>
      <c r="D228" s="3" t="s">
        <v>33</v>
      </c>
      <c r="E228" s="3" t="s">
        <v>10</v>
      </c>
      <c r="F228" s="11">
        <v>55000</v>
      </c>
      <c r="G228" s="14">
        <v>2</v>
      </c>
      <c r="H228" s="3" t="s">
        <v>28</v>
      </c>
      <c r="I228" s="3" t="s">
        <v>31</v>
      </c>
      <c r="J228" s="3" t="str">
        <f>IFERROR(IF(AND(Table1[[#This Row],[Sales]]=0,Table1[[#This Row],[Quantity]]&lt;&gt;0),"Sales Missing",IF(AND(Table1[[#This Row],[Sales]]&lt;&gt;0,Table1[[#This Row],[Quantity]]=0),"Quantity Missing",IF(AND(Table1[[#This Row],[Sales]]=0,Table1[[#This Row],[Quantity]]=0),"Both Missing","Valid Response"))),"No Data")</f>
        <v>Valid Response</v>
      </c>
    </row>
    <row r="229" spans="2:10" x14ac:dyDescent="0.25">
      <c r="B229" s="17">
        <v>1224</v>
      </c>
      <c r="C229" s="4">
        <v>45761</v>
      </c>
      <c r="D229" s="3" t="s">
        <v>314</v>
      </c>
      <c r="E229" s="3" t="s">
        <v>10</v>
      </c>
      <c r="F229" s="11">
        <v>52000</v>
      </c>
      <c r="G229" s="14">
        <v>2</v>
      </c>
      <c r="H229" s="3" t="s">
        <v>46</v>
      </c>
      <c r="I229" s="3" t="s">
        <v>29</v>
      </c>
      <c r="J229" s="3" t="str">
        <f>IFERROR(IF(AND(Table1[[#This Row],[Sales]]=0,Table1[[#This Row],[Quantity]]&lt;&gt;0),"Sales Missing",IF(AND(Table1[[#This Row],[Sales]]&lt;&gt;0,Table1[[#This Row],[Quantity]]=0),"Quantity Missing",IF(AND(Table1[[#This Row],[Sales]]=0,Table1[[#This Row],[Quantity]]=0),"Both Missing","Valid Response"))),"No Data")</f>
        <v>Valid Response</v>
      </c>
    </row>
    <row r="230" spans="2:10" x14ac:dyDescent="0.25">
      <c r="B230" s="17">
        <v>1225</v>
      </c>
      <c r="C230" s="4">
        <v>45762</v>
      </c>
      <c r="D230" s="3" t="s">
        <v>314</v>
      </c>
      <c r="E230" s="3" t="s">
        <v>27</v>
      </c>
      <c r="F230" s="11">
        <v>21000</v>
      </c>
      <c r="G230" s="14">
        <v>3</v>
      </c>
      <c r="H230" s="3" t="s">
        <v>34</v>
      </c>
      <c r="I230" s="3" t="s">
        <v>21</v>
      </c>
      <c r="J230" s="3" t="str">
        <f>IFERROR(IF(AND(Table1[[#This Row],[Sales]]=0,Table1[[#This Row],[Quantity]]&lt;&gt;0),"Sales Missing",IF(AND(Table1[[#This Row],[Sales]]&lt;&gt;0,Table1[[#This Row],[Quantity]]=0),"Quantity Missing",IF(AND(Table1[[#This Row],[Sales]]=0,Table1[[#This Row],[Quantity]]=0),"Both Missing","Valid Response"))),"No Data")</f>
        <v>Valid Response</v>
      </c>
    </row>
    <row r="231" spans="2:10" x14ac:dyDescent="0.25">
      <c r="B231" s="17">
        <v>1226</v>
      </c>
      <c r="C231" s="4">
        <v>45763</v>
      </c>
      <c r="D231" s="3" t="s">
        <v>33</v>
      </c>
      <c r="E231" s="3" t="s">
        <v>27</v>
      </c>
      <c r="F231" s="11">
        <v>15000</v>
      </c>
      <c r="G231" s="14">
        <v>3</v>
      </c>
      <c r="H231" s="3" t="s">
        <v>38</v>
      </c>
      <c r="I231" s="3" t="s">
        <v>21</v>
      </c>
      <c r="J231" s="3" t="str">
        <f>IFERROR(IF(AND(Table1[[#This Row],[Sales]]=0,Table1[[#This Row],[Quantity]]&lt;&gt;0),"Sales Missing",IF(AND(Table1[[#This Row],[Sales]]&lt;&gt;0,Table1[[#This Row],[Quantity]]=0),"Quantity Missing",IF(AND(Table1[[#This Row],[Sales]]=0,Table1[[#This Row],[Quantity]]=0),"Both Missing","Valid Response"))),"No Data")</f>
        <v>Valid Response</v>
      </c>
    </row>
    <row r="232" spans="2:10" x14ac:dyDescent="0.25">
      <c r="B232" s="17">
        <v>1227</v>
      </c>
      <c r="C232" s="4">
        <v>45764</v>
      </c>
      <c r="D232" s="3" t="s">
        <v>23</v>
      </c>
      <c r="E232" s="3" t="s">
        <v>27</v>
      </c>
      <c r="F232" s="11">
        <v>55000</v>
      </c>
      <c r="G232" s="14">
        <v>1</v>
      </c>
      <c r="H232" s="3" t="s">
        <v>46</v>
      </c>
      <c r="I232" s="3" t="s">
        <v>53</v>
      </c>
      <c r="J232" s="3" t="str">
        <f>IFERROR(IF(AND(Table1[[#This Row],[Sales]]=0,Table1[[#This Row],[Quantity]]&lt;&gt;0),"Sales Missing",IF(AND(Table1[[#This Row],[Sales]]&lt;&gt;0,Table1[[#This Row],[Quantity]]=0),"Quantity Missing",IF(AND(Table1[[#This Row],[Sales]]=0,Table1[[#This Row],[Quantity]]=0),"Both Missing","Valid Response"))),"No Data")</f>
        <v>Valid Response</v>
      </c>
    </row>
    <row r="233" spans="2:10" x14ac:dyDescent="0.25">
      <c r="B233" s="17">
        <v>1228</v>
      </c>
      <c r="C233" s="4">
        <v>45765</v>
      </c>
      <c r="D233" s="3" t="s">
        <v>315</v>
      </c>
      <c r="E233" s="3" t="s">
        <v>19</v>
      </c>
      <c r="F233" s="11">
        <v>21000</v>
      </c>
      <c r="G233" s="14">
        <v>2</v>
      </c>
      <c r="H233" s="3" t="s">
        <v>20</v>
      </c>
      <c r="I233" s="3" t="s">
        <v>31</v>
      </c>
      <c r="J233" s="3" t="str">
        <f>IFERROR(IF(AND(Table1[[#This Row],[Sales]]=0,Table1[[#This Row],[Quantity]]&lt;&gt;0),"Sales Missing",IF(AND(Table1[[#This Row],[Sales]]&lt;&gt;0,Table1[[#This Row],[Quantity]]=0),"Quantity Missing",IF(AND(Table1[[#This Row],[Sales]]=0,Table1[[#This Row],[Quantity]]=0),"Both Missing","Valid Response"))),"No Data")</f>
        <v>Valid Response</v>
      </c>
    </row>
    <row r="234" spans="2:10" x14ac:dyDescent="0.25">
      <c r="B234" s="17">
        <v>1229</v>
      </c>
      <c r="C234" s="4">
        <v>45766</v>
      </c>
      <c r="D234" s="3" t="s">
        <v>314</v>
      </c>
      <c r="E234" s="3" t="s">
        <v>19</v>
      </c>
      <c r="F234" s="11">
        <v>55000</v>
      </c>
      <c r="G234" s="14">
        <v>3</v>
      </c>
      <c r="H234" s="3" t="s">
        <v>38</v>
      </c>
      <c r="I234" s="3" t="s">
        <v>29</v>
      </c>
      <c r="J234" s="3" t="str">
        <f>IFERROR(IF(AND(Table1[[#This Row],[Sales]]=0,Table1[[#This Row],[Quantity]]&lt;&gt;0),"Sales Missing",IF(AND(Table1[[#This Row],[Sales]]&lt;&gt;0,Table1[[#This Row],[Quantity]]=0),"Quantity Missing",IF(AND(Table1[[#This Row],[Sales]]=0,Table1[[#This Row],[Quantity]]=0),"Both Missing","Valid Response"))),"No Data")</f>
        <v>Valid Response</v>
      </c>
    </row>
    <row r="235" spans="2:10" x14ac:dyDescent="0.25">
      <c r="B235" s="17">
        <v>1230</v>
      </c>
      <c r="C235" s="4">
        <v>45767</v>
      </c>
      <c r="D235" s="3" t="s">
        <v>23</v>
      </c>
      <c r="E235" s="3" t="s">
        <v>19</v>
      </c>
      <c r="F235" s="11">
        <v>20000</v>
      </c>
      <c r="G235" s="14">
        <v>0</v>
      </c>
      <c r="H235" s="3" t="s">
        <v>24</v>
      </c>
      <c r="I235" s="3" t="s">
        <v>53</v>
      </c>
      <c r="J235" s="3" t="str">
        <f>IFERROR(IF(AND(Table1[[#This Row],[Sales]]=0,Table1[[#This Row],[Quantity]]&lt;&gt;0),"Sales Missing",IF(AND(Table1[[#This Row],[Sales]]&lt;&gt;0,Table1[[#This Row],[Quantity]]=0),"Quantity Missing",IF(AND(Table1[[#This Row],[Sales]]=0,Table1[[#This Row],[Quantity]]=0),"Both Missing","Valid Response"))),"No Data")</f>
        <v>Quantity Missing</v>
      </c>
    </row>
    <row r="236" spans="2:10" x14ac:dyDescent="0.25">
      <c r="B236" s="17">
        <v>1231</v>
      </c>
      <c r="C236" s="4">
        <v>45768</v>
      </c>
      <c r="D236" s="3" t="s">
        <v>315</v>
      </c>
      <c r="E236" s="3" t="s">
        <v>19</v>
      </c>
      <c r="F236" s="11">
        <v>55000</v>
      </c>
      <c r="G236" s="14">
        <v>0</v>
      </c>
      <c r="H236" s="3" t="s">
        <v>11</v>
      </c>
      <c r="I236" s="3" t="s">
        <v>53</v>
      </c>
      <c r="J236" s="3" t="str">
        <f>IFERROR(IF(AND(Table1[[#This Row],[Sales]]=0,Table1[[#This Row],[Quantity]]&lt;&gt;0),"Sales Missing",IF(AND(Table1[[#This Row],[Sales]]&lt;&gt;0,Table1[[#This Row],[Quantity]]=0),"Quantity Missing",IF(AND(Table1[[#This Row],[Sales]]=0,Table1[[#This Row],[Quantity]]=0),"Both Missing","Valid Response"))),"No Data")</f>
        <v>Quantity Missing</v>
      </c>
    </row>
    <row r="237" spans="2:10" x14ac:dyDescent="0.25">
      <c r="B237" s="17">
        <v>1232</v>
      </c>
      <c r="C237" s="4">
        <v>45769</v>
      </c>
      <c r="D237" s="3" t="s">
        <v>23</v>
      </c>
      <c r="E237" s="3" t="s">
        <v>19</v>
      </c>
      <c r="F237" s="11">
        <v>48000</v>
      </c>
      <c r="G237" s="14">
        <v>2</v>
      </c>
      <c r="H237" s="3" t="s">
        <v>15</v>
      </c>
      <c r="I237" s="3" t="s">
        <v>29</v>
      </c>
      <c r="J237" s="3" t="str">
        <f>IFERROR(IF(AND(Table1[[#This Row],[Sales]]=0,Table1[[#This Row],[Quantity]]&lt;&gt;0),"Sales Missing",IF(AND(Table1[[#This Row],[Sales]]&lt;&gt;0,Table1[[#This Row],[Quantity]]=0),"Quantity Missing",IF(AND(Table1[[#This Row],[Sales]]=0,Table1[[#This Row],[Quantity]]=0),"Both Missing","Valid Response"))),"No Data")</f>
        <v>Valid Response</v>
      </c>
    </row>
    <row r="238" spans="2:10" x14ac:dyDescent="0.25">
      <c r="B238" s="17">
        <v>1233</v>
      </c>
      <c r="C238" s="4">
        <v>45770</v>
      </c>
      <c r="D238" s="3" t="s">
        <v>45</v>
      </c>
      <c r="E238" s="3" t="s">
        <v>19</v>
      </c>
      <c r="F238" s="11">
        <v>52000</v>
      </c>
      <c r="G238" s="14">
        <v>2</v>
      </c>
      <c r="H238" s="3" t="s">
        <v>15</v>
      </c>
      <c r="I238" s="3" t="s">
        <v>53</v>
      </c>
      <c r="J238" s="3" t="str">
        <f>IFERROR(IF(AND(Table1[[#This Row],[Sales]]=0,Table1[[#This Row],[Quantity]]&lt;&gt;0),"Sales Missing",IF(AND(Table1[[#This Row],[Sales]]&lt;&gt;0,Table1[[#This Row],[Quantity]]=0),"Quantity Missing",IF(AND(Table1[[#This Row],[Sales]]=0,Table1[[#This Row],[Quantity]]=0),"Both Missing","Valid Response"))),"No Data")</f>
        <v>Valid Response</v>
      </c>
    </row>
    <row r="239" spans="2:10" x14ac:dyDescent="0.25">
      <c r="B239" s="17">
        <v>1234</v>
      </c>
      <c r="C239" s="4">
        <v>45771</v>
      </c>
      <c r="D239" s="3" t="s">
        <v>33</v>
      </c>
      <c r="E239" s="3" t="s">
        <v>27</v>
      </c>
      <c r="F239" s="11">
        <v>0</v>
      </c>
      <c r="G239" s="14">
        <v>1</v>
      </c>
      <c r="H239" s="3" t="s">
        <v>28</v>
      </c>
      <c r="I239" s="3" t="s">
        <v>21</v>
      </c>
      <c r="J239" s="3" t="str">
        <f>IFERROR(IF(AND(Table1[[#This Row],[Sales]]=0,Table1[[#This Row],[Quantity]]&lt;&gt;0),"Sales Missing",IF(AND(Table1[[#This Row],[Sales]]&lt;&gt;0,Table1[[#This Row],[Quantity]]=0),"Quantity Missing",IF(AND(Table1[[#This Row],[Sales]]=0,Table1[[#This Row],[Quantity]]=0),"Both Missing","Valid Response"))),"No Data")</f>
        <v>Sales Missing</v>
      </c>
    </row>
    <row r="240" spans="2:10" x14ac:dyDescent="0.25">
      <c r="B240" s="17">
        <v>1235</v>
      </c>
      <c r="C240" s="4">
        <v>45772</v>
      </c>
      <c r="D240" s="3" t="s">
        <v>315</v>
      </c>
      <c r="E240" s="3" t="s">
        <v>27</v>
      </c>
      <c r="F240" s="11">
        <v>53000</v>
      </c>
      <c r="G240" s="14">
        <v>2</v>
      </c>
      <c r="H240" s="3" t="s">
        <v>20</v>
      </c>
      <c r="I240" s="3" t="s">
        <v>21</v>
      </c>
      <c r="J240" s="3" t="str">
        <f>IFERROR(IF(AND(Table1[[#This Row],[Sales]]=0,Table1[[#This Row],[Quantity]]&lt;&gt;0),"Sales Missing",IF(AND(Table1[[#This Row],[Sales]]&lt;&gt;0,Table1[[#This Row],[Quantity]]=0),"Quantity Missing",IF(AND(Table1[[#This Row],[Sales]]=0,Table1[[#This Row],[Quantity]]=0),"Both Missing","Valid Response"))),"No Data")</f>
        <v>Valid Response</v>
      </c>
    </row>
    <row r="241" spans="2:10" x14ac:dyDescent="0.25">
      <c r="B241" s="17">
        <v>1236</v>
      </c>
      <c r="C241" s="4">
        <v>45773</v>
      </c>
      <c r="D241" s="3" t="s">
        <v>33</v>
      </c>
      <c r="E241" s="3" t="s">
        <v>19</v>
      </c>
      <c r="F241" s="11">
        <v>53000</v>
      </c>
      <c r="G241" s="14">
        <v>1</v>
      </c>
      <c r="H241" s="3" t="s">
        <v>24</v>
      </c>
      <c r="I241" s="3" t="s">
        <v>21</v>
      </c>
      <c r="J241" s="3" t="str">
        <f>IFERROR(IF(AND(Table1[[#This Row],[Sales]]=0,Table1[[#This Row],[Quantity]]&lt;&gt;0),"Sales Missing",IF(AND(Table1[[#This Row],[Sales]]&lt;&gt;0,Table1[[#This Row],[Quantity]]=0),"Quantity Missing",IF(AND(Table1[[#This Row],[Sales]]=0,Table1[[#This Row],[Quantity]]=0),"Both Missing","Valid Response"))),"No Data")</f>
        <v>Valid Response</v>
      </c>
    </row>
    <row r="242" spans="2:10" x14ac:dyDescent="0.25">
      <c r="B242" s="17">
        <v>1237</v>
      </c>
      <c r="C242" s="4">
        <v>45774</v>
      </c>
      <c r="D242" s="3" t="s">
        <v>23</v>
      </c>
      <c r="E242" s="3" t="s">
        <v>27</v>
      </c>
      <c r="F242" s="11">
        <v>55000</v>
      </c>
      <c r="G242" s="14">
        <v>0</v>
      </c>
      <c r="H242" s="3" t="s">
        <v>15</v>
      </c>
      <c r="I242" s="3" t="s">
        <v>21</v>
      </c>
      <c r="J242" s="3" t="str">
        <f>IFERROR(IF(AND(Table1[[#This Row],[Sales]]=0,Table1[[#This Row],[Quantity]]&lt;&gt;0),"Sales Missing",IF(AND(Table1[[#This Row],[Sales]]&lt;&gt;0,Table1[[#This Row],[Quantity]]=0),"Quantity Missing",IF(AND(Table1[[#This Row],[Sales]]=0,Table1[[#This Row],[Quantity]]=0),"Both Missing","Valid Response"))),"No Data")</f>
        <v>Quantity Missing</v>
      </c>
    </row>
    <row r="243" spans="2:10" x14ac:dyDescent="0.25">
      <c r="B243" s="17">
        <v>1238</v>
      </c>
      <c r="C243" s="4">
        <v>45775</v>
      </c>
      <c r="D243" s="3" t="s">
        <v>45</v>
      </c>
      <c r="E243" s="3" t="s">
        <v>27</v>
      </c>
      <c r="F243" s="11">
        <v>0</v>
      </c>
      <c r="G243" s="14">
        <v>1</v>
      </c>
      <c r="H243" s="3" t="s">
        <v>11</v>
      </c>
      <c r="I243" s="3" t="s">
        <v>53</v>
      </c>
      <c r="J243" s="3" t="str">
        <f>IFERROR(IF(AND(Table1[[#This Row],[Sales]]=0,Table1[[#This Row],[Quantity]]&lt;&gt;0),"Sales Missing",IF(AND(Table1[[#This Row],[Sales]]&lt;&gt;0,Table1[[#This Row],[Quantity]]=0),"Quantity Missing",IF(AND(Table1[[#This Row],[Sales]]=0,Table1[[#This Row],[Quantity]]=0),"Both Missing","Valid Response"))),"No Data")</f>
        <v>Sales Missing</v>
      </c>
    </row>
    <row r="244" spans="2:10" x14ac:dyDescent="0.25">
      <c r="B244" s="17">
        <v>1239</v>
      </c>
      <c r="C244" s="4">
        <v>45776</v>
      </c>
      <c r="D244" s="3" t="s">
        <v>23</v>
      </c>
      <c r="E244" s="3" t="s">
        <v>27</v>
      </c>
      <c r="F244" s="11">
        <v>48000</v>
      </c>
      <c r="G244" s="14">
        <v>3</v>
      </c>
      <c r="H244" s="3" t="s">
        <v>28</v>
      </c>
      <c r="I244" s="3" t="s">
        <v>31</v>
      </c>
      <c r="J244" s="3" t="str">
        <f>IFERROR(IF(AND(Table1[[#This Row],[Sales]]=0,Table1[[#This Row],[Quantity]]&lt;&gt;0),"Sales Missing",IF(AND(Table1[[#This Row],[Sales]]&lt;&gt;0,Table1[[#This Row],[Quantity]]=0),"Quantity Missing",IF(AND(Table1[[#This Row],[Sales]]=0,Table1[[#This Row],[Quantity]]=0),"Both Missing","Valid Response"))),"No Data")</f>
        <v>Valid Response</v>
      </c>
    </row>
    <row r="245" spans="2:10" x14ac:dyDescent="0.25">
      <c r="B245" s="17">
        <v>1240</v>
      </c>
      <c r="C245" s="4">
        <v>45777</v>
      </c>
      <c r="D245" s="3" t="s">
        <v>33</v>
      </c>
      <c r="E245" s="3" t="s">
        <v>27</v>
      </c>
      <c r="F245" s="11">
        <v>53000</v>
      </c>
      <c r="G245" s="14">
        <v>2</v>
      </c>
      <c r="H245" s="3" t="s">
        <v>38</v>
      </c>
      <c r="I245" s="3" t="s">
        <v>53</v>
      </c>
      <c r="J245" s="3" t="str">
        <f>IFERROR(IF(AND(Table1[[#This Row],[Sales]]=0,Table1[[#This Row],[Quantity]]&lt;&gt;0),"Sales Missing",IF(AND(Table1[[#This Row],[Sales]]&lt;&gt;0,Table1[[#This Row],[Quantity]]=0),"Quantity Missing",IF(AND(Table1[[#This Row],[Sales]]=0,Table1[[#This Row],[Quantity]]=0),"Both Missing","Valid Response"))),"No Data")</f>
        <v>Valid Response</v>
      </c>
    </row>
    <row r="246" spans="2:10" x14ac:dyDescent="0.25">
      <c r="B246" s="17">
        <v>1241</v>
      </c>
      <c r="C246" s="4">
        <v>45658</v>
      </c>
      <c r="D246" s="3" t="s">
        <v>45</v>
      </c>
      <c r="E246" s="3" t="s">
        <v>19</v>
      </c>
      <c r="F246" s="11">
        <v>55000</v>
      </c>
      <c r="G246" s="14">
        <v>2</v>
      </c>
      <c r="H246" s="3" t="s">
        <v>38</v>
      </c>
      <c r="I246" s="3" t="s">
        <v>31</v>
      </c>
      <c r="J246" s="3" t="str">
        <f>IFERROR(IF(AND(Table1[[#This Row],[Sales]]=0,Table1[[#This Row],[Quantity]]&lt;&gt;0),"Sales Missing",IF(AND(Table1[[#This Row],[Sales]]&lt;&gt;0,Table1[[#This Row],[Quantity]]=0),"Quantity Missing",IF(AND(Table1[[#This Row],[Sales]]=0,Table1[[#This Row],[Quantity]]=0),"Both Missing","Valid Response"))),"No Data")</f>
        <v>Valid Response</v>
      </c>
    </row>
    <row r="247" spans="2:10" x14ac:dyDescent="0.25">
      <c r="B247" s="17">
        <v>1242</v>
      </c>
      <c r="C247" s="4">
        <v>45659</v>
      </c>
      <c r="D247" s="3" t="s">
        <v>33</v>
      </c>
      <c r="E247" s="3" t="s">
        <v>19</v>
      </c>
      <c r="F247" s="11">
        <v>0</v>
      </c>
      <c r="G247" s="14">
        <v>1</v>
      </c>
      <c r="H247" s="3" t="s">
        <v>46</v>
      </c>
      <c r="I247" s="3" t="s">
        <v>53</v>
      </c>
      <c r="J247" s="3" t="str">
        <f>IFERROR(IF(AND(Table1[[#This Row],[Sales]]=0,Table1[[#This Row],[Quantity]]&lt;&gt;0),"Sales Missing",IF(AND(Table1[[#This Row],[Sales]]&lt;&gt;0,Table1[[#This Row],[Quantity]]=0),"Quantity Missing",IF(AND(Table1[[#This Row],[Sales]]=0,Table1[[#This Row],[Quantity]]=0),"Both Missing","Valid Response"))),"No Data")</f>
        <v>Sales Missing</v>
      </c>
    </row>
    <row r="248" spans="2:10" x14ac:dyDescent="0.25">
      <c r="B248" s="17">
        <v>1243</v>
      </c>
      <c r="C248" s="4">
        <v>45660</v>
      </c>
      <c r="D248" s="3" t="s">
        <v>314</v>
      </c>
      <c r="E248" s="3" t="s">
        <v>27</v>
      </c>
      <c r="F248" s="11">
        <v>52000</v>
      </c>
      <c r="G248" s="14">
        <v>2</v>
      </c>
      <c r="H248" s="3" t="s">
        <v>11</v>
      </c>
      <c r="I248" s="3" t="s">
        <v>21</v>
      </c>
      <c r="J248" s="3" t="str">
        <f>IFERROR(IF(AND(Table1[[#This Row],[Sales]]=0,Table1[[#This Row],[Quantity]]&lt;&gt;0),"Sales Missing",IF(AND(Table1[[#This Row],[Sales]]&lt;&gt;0,Table1[[#This Row],[Quantity]]=0),"Quantity Missing",IF(AND(Table1[[#This Row],[Sales]]=0,Table1[[#This Row],[Quantity]]=0),"Both Missing","Valid Response"))),"No Data")</f>
        <v>Valid Response</v>
      </c>
    </row>
    <row r="249" spans="2:10" x14ac:dyDescent="0.25">
      <c r="B249" s="17">
        <v>1244</v>
      </c>
      <c r="C249" s="4">
        <v>45661</v>
      </c>
      <c r="D249" s="3" t="s">
        <v>23</v>
      </c>
      <c r="E249" s="3" t="s">
        <v>19</v>
      </c>
      <c r="F249" s="11">
        <v>15000</v>
      </c>
      <c r="G249" s="14">
        <v>2</v>
      </c>
      <c r="H249" s="3" t="s">
        <v>46</v>
      </c>
      <c r="I249" s="3" t="s">
        <v>53</v>
      </c>
      <c r="J249" s="3" t="str">
        <f>IFERROR(IF(AND(Table1[[#This Row],[Sales]]=0,Table1[[#This Row],[Quantity]]&lt;&gt;0),"Sales Missing",IF(AND(Table1[[#This Row],[Sales]]&lt;&gt;0,Table1[[#This Row],[Quantity]]=0),"Quantity Missing",IF(AND(Table1[[#This Row],[Sales]]=0,Table1[[#This Row],[Quantity]]=0),"Both Missing","Valid Response"))),"No Data")</f>
        <v>Valid Response</v>
      </c>
    </row>
    <row r="250" spans="2:10" x14ac:dyDescent="0.25">
      <c r="B250" s="17">
        <v>1245</v>
      </c>
      <c r="C250" s="4">
        <v>45662</v>
      </c>
      <c r="D250" s="3" t="s">
        <v>23</v>
      </c>
      <c r="E250" s="3" t="s">
        <v>27</v>
      </c>
      <c r="F250" s="11">
        <v>55000</v>
      </c>
      <c r="G250" s="14">
        <v>0</v>
      </c>
      <c r="H250" s="3" t="s">
        <v>20</v>
      </c>
      <c r="I250" s="3" t="s">
        <v>21</v>
      </c>
      <c r="J250" s="3" t="str">
        <f>IFERROR(IF(AND(Table1[[#This Row],[Sales]]=0,Table1[[#This Row],[Quantity]]&lt;&gt;0),"Sales Missing",IF(AND(Table1[[#This Row],[Sales]]&lt;&gt;0,Table1[[#This Row],[Quantity]]=0),"Quantity Missing",IF(AND(Table1[[#This Row],[Sales]]=0,Table1[[#This Row],[Quantity]]=0),"Both Missing","Valid Response"))),"No Data")</f>
        <v>Quantity Missing</v>
      </c>
    </row>
    <row r="251" spans="2:10" x14ac:dyDescent="0.25">
      <c r="B251" s="17">
        <v>1246</v>
      </c>
      <c r="C251" s="4">
        <v>45663</v>
      </c>
      <c r="D251" s="3" t="s">
        <v>45</v>
      </c>
      <c r="E251" s="3" t="s">
        <v>27</v>
      </c>
      <c r="F251" s="11">
        <v>48000</v>
      </c>
      <c r="G251" s="14">
        <v>2</v>
      </c>
      <c r="H251" s="3" t="s">
        <v>34</v>
      </c>
      <c r="I251" s="3" t="s">
        <v>31</v>
      </c>
      <c r="J251" s="3" t="str">
        <f>IFERROR(IF(AND(Table1[[#This Row],[Sales]]=0,Table1[[#This Row],[Quantity]]&lt;&gt;0),"Sales Missing",IF(AND(Table1[[#This Row],[Sales]]&lt;&gt;0,Table1[[#This Row],[Quantity]]=0),"Quantity Missing",IF(AND(Table1[[#This Row],[Sales]]=0,Table1[[#This Row],[Quantity]]=0),"Both Missing","Valid Response"))),"No Data")</f>
        <v>Valid Response</v>
      </c>
    </row>
    <row r="252" spans="2:10" x14ac:dyDescent="0.25">
      <c r="B252" s="17">
        <v>1247</v>
      </c>
      <c r="C252" s="4">
        <v>45664</v>
      </c>
      <c r="D252" s="3" t="s">
        <v>45</v>
      </c>
      <c r="E252" s="3" t="s">
        <v>27</v>
      </c>
      <c r="F252" s="11">
        <v>55000</v>
      </c>
      <c r="G252" s="14">
        <v>3</v>
      </c>
      <c r="H252" s="3" t="s">
        <v>15</v>
      </c>
      <c r="I252" s="3" t="s">
        <v>31</v>
      </c>
      <c r="J252" s="3" t="str">
        <f>IFERROR(IF(AND(Table1[[#This Row],[Sales]]=0,Table1[[#This Row],[Quantity]]&lt;&gt;0),"Sales Missing",IF(AND(Table1[[#This Row],[Sales]]&lt;&gt;0,Table1[[#This Row],[Quantity]]=0),"Quantity Missing",IF(AND(Table1[[#This Row],[Sales]]=0,Table1[[#This Row],[Quantity]]=0),"Both Missing","Valid Response"))),"No Data")</f>
        <v>Valid Response</v>
      </c>
    </row>
    <row r="253" spans="2:10" x14ac:dyDescent="0.25">
      <c r="B253" s="17">
        <v>1248</v>
      </c>
      <c r="C253" s="4">
        <v>45665</v>
      </c>
      <c r="D253" s="3" t="s">
        <v>315</v>
      </c>
      <c r="E253" s="3" t="s">
        <v>27</v>
      </c>
      <c r="F253" s="11">
        <v>15000</v>
      </c>
      <c r="G253" s="14">
        <v>3</v>
      </c>
      <c r="H253" s="3" t="s">
        <v>46</v>
      </c>
      <c r="I253" s="3" t="s">
        <v>21</v>
      </c>
      <c r="J253" s="3" t="str">
        <f>IFERROR(IF(AND(Table1[[#This Row],[Sales]]=0,Table1[[#This Row],[Quantity]]&lt;&gt;0),"Sales Missing",IF(AND(Table1[[#This Row],[Sales]]&lt;&gt;0,Table1[[#This Row],[Quantity]]=0),"Quantity Missing",IF(AND(Table1[[#This Row],[Sales]]=0,Table1[[#This Row],[Quantity]]=0),"Both Missing","Valid Response"))),"No Data")</f>
        <v>Valid Response</v>
      </c>
    </row>
    <row r="254" spans="2:10" x14ac:dyDescent="0.25">
      <c r="B254" s="17">
        <v>1249</v>
      </c>
      <c r="C254" s="4">
        <v>45666</v>
      </c>
      <c r="D254" s="3" t="s">
        <v>45</v>
      </c>
      <c r="E254" s="3" t="s">
        <v>27</v>
      </c>
      <c r="F254" s="11">
        <v>21000</v>
      </c>
      <c r="G254" s="14">
        <v>0</v>
      </c>
      <c r="H254" s="3" t="s">
        <v>34</v>
      </c>
      <c r="I254" s="3" t="s">
        <v>31</v>
      </c>
      <c r="J254" s="3" t="str">
        <f>IFERROR(IF(AND(Table1[[#This Row],[Sales]]=0,Table1[[#This Row],[Quantity]]&lt;&gt;0),"Sales Missing",IF(AND(Table1[[#This Row],[Sales]]&lt;&gt;0,Table1[[#This Row],[Quantity]]=0),"Quantity Missing",IF(AND(Table1[[#This Row],[Sales]]=0,Table1[[#This Row],[Quantity]]=0),"Both Missing","Valid Response"))),"No Data")</f>
        <v>Quantity Missing</v>
      </c>
    </row>
    <row r="255" spans="2:10" x14ac:dyDescent="0.25">
      <c r="B255" s="17">
        <v>1250</v>
      </c>
      <c r="C255" s="4">
        <v>45667</v>
      </c>
      <c r="D255" s="3" t="s">
        <v>23</v>
      </c>
      <c r="E255" s="3" t="s">
        <v>19</v>
      </c>
      <c r="F255" s="11">
        <v>52000</v>
      </c>
      <c r="G255" s="14">
        <v>3</v>
      </c>
      <c r="H255" s="3" t="s">
        <v>28</v>
      </c>
      <c r="I255" s="3" t="s">
        <v>21</v>
      </c>
      <c r="J255" s="3" t="str">
        <f>IFERROR(IF(AND(Table1[[#This Row],[Sales]]=0,Table1[[#This Row],[Quantity]]&lt;&gt;0),"Sales Missing",IF(AND(Table1[[#This Row],[Sales]]&lt;&gt;0,Table1[[#This Row],[Quantity]]=0),"Quantity Missing",IF(AND(Table1[[#This Row],[Sales]]=0,Table1[[#This Row],[Quantity]]=0),"Both Missing","Valid Response"))),"No Data")</f>
        <v>Valid Response</v>
      </c>
    </row>
    <row r="256" spans="2:10" x14ac:dyDescent="0.25">
      <c r="B256" s="17">
        <v>1251</v>
      </c>
      <c r="C256" s="4">
        <v>45668</v>
      </c>
      <c r="D256" s="3" t="s">
        <v>33</v>
      </c>
      <c r="E256" s="3" t="s">
        <v>27</v>
      </c>
      <c r="F256" s="11">
        <v>55000</v>
      </c>
      <c r="G256" s="14">
        <v>3</v>
      </c>
      <c r="H256" s="3" t="s">
        <v>46</v>
      </c>
      <c r="I256" s="3" t="s">
        <v>29</v>
      </c>
      <c r="J256" s="3" t="str">
        <f>IFERROR(IF(AND(Table1[[#This Row],[Sales]]=0,Table1[[#This Row],[Quantity]]&lt;&gt;0),"Sales Missing",IF(AND(Table1[[#This Row],[Sales]]&lt;&gt;0,Table1[[#This Row],[Quantity]]=0),"Quantity Missing",IF(AND(Table1[[#This Row],[Sales]]=0,Table1[[#This Row],[Quantity]]=0),"Both Missing","Valid Response"))),"No Data")</f>
        <v>Valid Response</v>
      </c>
    </row>
    <row r="257" spans="2:10" x14ac:dyDescent="0.25">
      <c r="B257" s="17">
        <v>1252</v>
      </c>
      <c r="C257" s="4">
        <v>45669</v>
      </c>
      <c r="D257" s="3" t="s">
        <v>33</v>
      </c>
      <c r="E257" s="3" t="s">
        <v>19</v>
      </c>
      <c r="F257" s="11">
        <v>15000</v>
      </c>
      <c r="G257" s="14">
        <v>2</v>
      </c>
      <c r="H257" s="3" t="s">
        <v>15</v>
      </c>
      <c r="I257" s="3" t="s">
        <v>29</v>
      </c>
      <c r="J257" s="3" t="str">
        <f>IFERROR(IF(AND(Table1[[#This Row],[Sales]]=0,Table1[[#This Row],[Quantity]]&lt;&gt;0),"Sales Missing",IF(AND(Table1[[#This Row],[Sales]]&lt;&gt;0,Table1[[#This Row],[Quantity]]=0),"Quantity Missing",IF(AND(Table1[[#This Row],[Sales]]=0,Table1[[#This Row],[Quantity]]=0),"Both Missing","Valid Response"))),"No Data")</f>
        <v>Valid Response</v>
      </c>
    </row>
    <row r="258" spans="2:10" x14ac:dyDescent="0.25">
      <c r="B258" s="17">
        <v>1253</v>
      </c>
      <c r="C258" s="4">
        <v>45670</v>
      </c>
      <c r="D258" s="3" t="s">
        <v>33</v>
      </c>
      <c r="E258" s="3" t="s">
        <v>27</v>
      </c>
      <c r="F258" s="11">
        <v>15000</v>
      </c>
      <c r="G258" s="14">
        <v>1</v>
      </c>
      <c r="H258" s="3" t="s">
        <v>24</v>
      </c>
      <c r="I258" s="3" t="s">
        <v>53</v>
      </c>
      <c r="J258" s="3" t="str">
        <f>IFERROR(IF(AND(Table1[[#This Row],[Sales]]=0,Table1[[#This Row],[Quantity]]&lt;&gt;0),"Sales Missing",IF(AND(Table1[[#This Row],[Sales]]&lt;&gt;0,Table1[[#This Row],[Quantity]]=0),"Quantity Missing",IF(AND(Table1[[#This Row],[Sales]]=0,Table1[[#This Row],[Quantity]]=0),"Both Missing","Valid Response"))),"No Data")</f>
        <v>Valid Response</v>
      </c>
    </row>
    <row r="259" spans="2:10" x14ac:dyDescent="0.25">
      <c r="B259" s="17">
        <v>1254</v>
      </c>
      <c r="C259" s="4">
        <v>45671</v>
      </c>
      <c r="D259" s="3" t="s">
        <v>33</v>
      </c>
      <c r="E259" s="3" t="s">
        <v>10</v>
      </c>
      <c r="F259" s="11">
        <v>53000</v>
      </c>
      <c r="G259" s="14">
        <v>3</v>
      </c>
      <c r="H259" s="3" t="s">
        <v>24</v>
      </c>
      <c r="I259" s="3" t="s">
        <v>21</v>
      </c>
      <c r="J259" s="3" t="str">
        <f>IFERROR(IF(AND(Table1[[#This Row],[Sales]]=0,Table1[[#This Row],[Quantity]]&lt;&gt;0),"Sales Missing",IF(AND(Table1[[#This Row],[Sales]]&lt;&gt;0,Table1[[#This Row],[Quantity]]=0),"Quantity Missing",IF(AND(Table1[[#This Row],[Sales]]=0,Table1[[#This Row],[Quantity]]=0),"Both Missing","Valid Response"))),"No Data")</f>
        <v>Valid Response</v>
      </c>
    </row>
    <row r="260" spans="2:10" x14ac:dyDescent="0.25">
      <c r="B260" s="17">
        <v>1255</v>
      </c>
      <c r="C260" s="4">
        <v>45672</v>
      </c>
      <c r="D260" s="3" t="s">
        <v>33</v>
      </c>
      <c r="E260" s="3" t="s">
        <v>10</v>
      </c>
      <c r="F260" s="11">
        <v>21000</v>
      </c>
      <c r="G260" s="14">
        <v>2</v>
      </c>
      <c r="H260" s="3" t="s">
        <v>20</v>
      </c>
      <c r="I260" s="3" t="s">
        <v>53</v>
      </c>
      <c r="J260" s="3" t="str">
        <f>IFERROR(IF(AND(Table1[[#This Row],[Sales]]=0,Table1[[#This Row],[Quantity]]&lt;&gt;0),"Sales Missing",IF(AND(Table1[[#This Row],[Sales]]&lt;&gt;0,Table1[[#This Row],[Quantity]]=0),"Quantity Missing",IF(AND(Table1[[#This Row],[Sales]]=0,Table1[[#This Row],[Quantity]]=0),"Both Missing","Valid Response"))),"No Data")</f>
        <v>Valid Response</v>
      </c>
    </row>
    <row r="261" spans="2:10" x14ac:dyDescent="0.25">
      <c r="B261" s="17">
        <v>1256</v>
      </c>
      <c r="C261" s="4">
        <v>45673</v>
      </c>
      <c r="D261" s="3" t="s">
        <v>314</v>
      </c>
      <c r="E261" s="3" t="s">
        <v>27</v>
      </c>
      <c r="F261" s="11">
        <v>48000</v>
      </c>
      <c r="G261" s="14">
        <v>0</v>
      </c>
      <c r="H261" s="3" t="s">
        <v>46</v>
      </c>
      <c r="I261" s="3" t="s">
        <v>31</v>
      </c>
      <c r="J261" s="3" t="str">
        <f>IFERROR(IF(AND(Table1[[#This Row],[Sales]]=0,Table1[[#This Row],[Quantity]]&lt;&gt;0),"Sales Missing",IF(AND(Table1[[#This Row],[Sales]]&lt;&gt;0,Table1[[#This Row],[Quantity]]=0),"Quantity Missing",IF(AND(Table1[[#This Row],[Sales]]=0,Table1[[#This Row],[Quantity]]=0),"Both Missing","Valid Response"))),"No Data")</f>
        <v>Quantity Missing</v>
      </c>
    </row>
    <row r="262" spans="2:10" x14ac:dyDescent="0.25">
      <c r="B262" s="17">
        <v>1257</v>
      </c>
      <c r="C262" s="4">
        <v>45674</v>
      </c>
      <c r="D262" s="3" t="s">
        <v>23</v>
      </c>
      <c r="E262" s="3" t="s">
        <v>27</v>
      </c>
      <c r="F262" s="11">
        <v>55000</v>
      </c>
      <c r="G262" s="14">
        <v>1</v>
      </c>
      <c r="H262" s="3" t="s">
        <v>11</v>
      </c>
      <c r="I262" s="3" t="s">
        <v>21</v>
      </c>
      <c r="J262" s="3" t="str">
        <f>IFERROR(IF(AND(Table1[[#This Row],[Sales]]=0,Table1[[#This Row],[Quantity]]&lt;&gt;0),"Sales Missing",IF(AND(Table1[[#This Row],[Sales]]&lt;&gt;0,Table1[[#This Row],[Quantity]]=0),"Quantity Missing",IF(AND(Table1[[#This Row],[Sales]]=0,Table1[[#This Row],[Quantity]]=0),"Both Missing","Valid Response"))),"No Data")</f>
        <v>Valid Response</v>
      </c>
    </row>
    <row r="263" spans="2:10" x14ac:dyDescent="0.25">
      <c r="B263" s="17">
        <v>1258</v>
      </c>
      <c r="C263" s="4">
        <v>45675</v>
      </c>
      <c r="D263" s="3" t="s">
        <v>45</v>
      </c>
      <c r="E263" s="3" t="s">
        <v>19</v>
      </c>
      <c r="F263" s="11">
        <v>53000</v>
      </c>
      <c r="G263" s="14">
        <v>3</v>
      </c>
      <c r="H263" s="3" t="s">
        <v>28</v>
      </c>
      <c r="I263" s="3" t="s">
        <v>29</v>
      </c>
      <c r="J263" s="3" t="str">
        <f>IFERROR(IF(AND(Table1[[#This Row],[Sales]]=0,Table1[[#This Row],[Quantity]]&lt;&gt;0),"Sales Missing",IF(AND(Table1[[#This Row],[Sales]]&lt;&gt;0,Table1[[#This Row],[Quantity]]=0),"Quantity Missing",IF(AND(Table1[[#This Row],[Sales]]=0,Table1[[#This Row],[Quantity]]=0),"Both Missing","Valid Response"))),"No Data")</f>
        <v>Valid Response</v>
      </c>
    </row>
    <row r="264" spans="2:10" x14ac:dyDescent="0.25">
      <c r="B264" s="17">
        <v>1259</v>
      </c>
      <c r="C264" s="4">
        <v>45676</v>
      </c>
      <c r="D264" s="3" t="s">
        <v>45</v>
      </c>
      <c r="E264" s="3" t="s">
        <v>10</v>
      </c>
      <c r="F264" s="11">
        <v>0</v>
      </c>
      <c r="G264" s="14">
        <v>0</v>
      </c>
      <c r="H264" s="3" t="s">
        <v>15</v>
      </c>
      <c r="I264" s="3" t="s">
        <v>21</v>
      </c>
      <c r="J264" s="3" t="str">
        <f>IFERROR(IF(AND(Table1[[#This Row],[Sales]]=0,Table1[[#This Row],[Quantity]]&lt;&gt;0),"Sales Missing",IF(AND(Table1[[#This Row],[Sales]]&lt;&gt;0,Table1[[#This Row],[Quantity]]=0),"Quantity Missing",IF(AND(Table1[[#This Row],[Sales]]=0,Table1[[#This Row],[Quantity]]=0),"Both Missing","Valid Response"))),"No Data")</f>
        <v>Both Missing</v>
      </c>
    </row>
    <row r="265" spans="2:10" x14ac:dyDescent="0.25">
      <c r="B265" s="17">
        <v>1260</v>
      </c>
      <c r="C265" s="4">
        <v>45677</v>
      </c>
      <c r="D265" s="3" t="s">
        <v>23</v>
      </c>
      <c r="E265" s="3" t="s">
        <v>19</v>
      </c>
      <c r="F265" s="11">
        <v>53000</v>
      </c>
      <c r="G265" s="14">
        <v>3</v>
      </c>
      <c r="H265" s="3" t="s">
        <v>28</v>
      </c>
      <c r="I265" s="3" t="s">
        <v>53</v>
      </c>
      <c r="J265" s="3" t="str">
        <f>IFERROR(IF(AND(Table1[[#This Row],[Sales]]=0,Table1[[#This Row],[Quantity]]&lt;&gt;0),"Sales Missing",IF(AND(Table1[[#This Row],[Sales]]&lt;&gt;0,Table1[[#This Row],[Quantity]]=0),"Quantity Missing",IF(AND(Table1[[#This Row],[Sales]]=0,Table1[[#This Row],[Quantity]]=0),"Both Missing","Valid Response"))),"No Data")</f>
        <v>Valid Response</v>
      </c>
    </row>
    <row r="266" spans="2:10" x14ac:dyDescent="0.25">
      <c r="B266" s="17">
        <v>1261</v>
      </c>
      <c r="C266" s="4">
        <v>45678</v>
      </c>
      <c r="D266" s="3" t="s">
        <v>23</v>
      </c>
      <c r="E266" s="3" t="s">
        <v>19</v>
      </c>
      <c r="F266" s="11">
        <v>0</v>
      </c>
      <c r="G266" s="14">
        <v>2</v>
      </c>
      <c r="H266" s="3" t="s">
        <v>20</v>
      </c>
      <c r="I266" s="3" t="s">
        <v>29</v>
      </c>
      <c r="J266" s="3" t="str">
        <f>IFERROR(IF(AND(Table1[[#This Row],[Sales]]=0,Table1[[#This Row],[Quantity]]&lt;&gt;0),"Sales Missing",IF(AND(Table1[[#This Row],[Sales]]&lt;&gt;0,Table1[[#This Row],[Quantity]]=0),"Quantity Missing",IF(AND(Table1[[#This Row],[Sales]]=0,Table1[[#This Row],[Quantity]]=0),"Both Missing","Valid Response"))),"No Data")</f>
        <v>Sales Missing</v>
      </c>
    </row>
    <row r="267" spans="2:10" x14ac:dyDescent="0.25">
      <c r="B267" s="17">
        <v>1262</v>
      </c>
      <c r="C267" s="4">
        <v>45679</v>
      </c>
      <c r="D267" s="3" t="s">
        <v>315</v>
      </c>
      <c r="E267" s="3" t="s">
        <v>19</v>
      </c>
      <c r="F267" s="11">
        <v>0</v>
      </c>
      <c r="G267" s="14">
        <v>1</v>
      </c>
      <c r="H267" s="3" t="s">
        <v>46</v>
      </c>
      <c r="I267" s="3" t="s">
        <v>31</v>
      </c>
      <c r="J267" s="3" t="str">
        <f>IFERROR(IF(AND(Table1[[#This Row],[Sales]]=0,Table1[[#This Row],[Quantity]]&lt;&gt;0),"Sales Missing",IF(AND(Table1[[#This Row],[Sales]]&lt;&gt;0,Table1[[#This Row],[Quantity]]=0),"Quantity Missing",IF(AND(Table1[[#This Row],[Sales]]=0,Table1[[#This Row],[Quantity]]=0),"Both Missing","Valid Response"))),"No Data")</f>
        <v>Sales Missing</v>
      </c>
    </row>
    <row r="268" spans="2:10" x14ac:dyDescent="0.25">
      <c r="B268" s="17">
        <v>1263</v>
      </c>
      <c r="C268" s="4">
        <v>45680</v>
      </c>
      <c r="D268" s="3" t="s">
        <v>23</v>
      </c>
      <c r="E268" s="3" t="s">
        <v>19</v>
      </c>
      <c r="F268" s="11">
        <v>53000</v>
      </c>
      <c r="G268" s="14">
        <v>3</v>
      </c>
      <c r="H268" s="3" t="s">
        <v>24</v>
      </c>
      <c r="I268" s="3" t="s">
        <v>53</v>
      </c>
      <c r="J268" s="3" t="str">
        <f>IFERROR(IF(AND(Table1[[#This Row],[Sales]]=0,Table1[[#This Row],[Quantity]]&lt;&gt;0),"Sales Missing",IF(AND(Table1[[#This Row],[Sales]]&lt;&gt;0,Table1[[#This Row],[Quantity]]=0),"Quantity Missing",IF(AND(Table1[[#This Row],[Sales]]=0,Table1[[#This Row],[Quantity]]=0),"Both Missing","Valid Response"))),"No Data")</f>
        <v>Valid Response</v>
      </c>
    </row>
    <row r="269" spans="2:10" x14ac:dyDescent="0.25">
      <c r="B269" s="17">
        <v>1264</v>
      </c>
      <c r="C269" s="4">
        <v>45681</v>
      </c>
      <c r="D269" s="3" t="s">
        <v>33</v>
      </c>
      <c r="E269" s="3" t="s">
        <v>19</v>
      </c>
      <c r="F269" s="11">
        <v>53000</v>
      </c>
      <c r="G269" s="14">
        <v>2</v>
      </c>
      <c r="H269" s="3" t="s">
        <v>15</v>
      </c>
      <c r="I269" s="3" t="s">
        <v>21</v>
      </c>
      <c r="J269" s="3" t="str">
        <f>IFERROR(IF(AND(Table1[[#This Row],[Sales]]=0,Table1[[#This Row],[Quantity]]&lt;&gt;0),"Sales Missing",IF(AND(Table1[[#This Row],[Sales]]&lt;&gt;0,Table1[[#This Row],[Quantity]]=0),"Quantity Missing",IF(AND(Table1[[#This Row],[Sales]]=0,Table1[[#This Row],[Quantity]]=0),"Both Missing","Valid Response"))),"No Data")</f>
        <v>Valid Response</v>
      </c>
    </row>
    <row r="270" spans="2:10" x14ac:dyDescent="0.25">
      <c r="B270" s="17">
        <v>1265</v>
      </c>
      <c r="C270" s="4">
        <v>45682</v>
      </c>
      <c r="D270" s="3" t="s">
        <v>45</v>
      </c>
      <c r="E270" s="3" t="s">
        <v>27</v>
      </c>
      <c r="F270" s="11">
        <v>48000</v>
      </c>
      <c r="G270" s="14">
        <v>1</v>
      </c>
      <c r="H270" s="3" t="s">
        <v>20</v>
      </c>
      <c r="I270" s="3" t="s">
        <v>29</v>
      </c>
      <c r="J270" s="3" t="str">
        <f>IFERROR(IF(AND(Table1[[#This Row],[Sales]]=0,Table1[[#This Row],[Quantity]]&lt;&gt;0),"Sales Missing",IF(AND(Table1[[#This Row],[Sales]]&lt;&gt;0,Table1[[#This Row],[Quantity]]=0),"Quantity Missing",IF(AND(Table1[[#This Row],[Sales]]=0,Table1[[#This Row],[Quantity]]=0),"Both Missing","Valid Response"))),"No Data")</f>
        <v>Valid Response</v>
      </c>
    </row>
    <row r="271" spans="2:10" x14ac:dyDescent="0.25">
      <c r="B271" s="17">
        <v>1266</v>
      </c>
      <c r="C271" s="4">
        <v>45683</v>
      </c>
      <c r="D271" s="3" t="s">
        <v>23</v>
      </c>
      <c r="E271" s="3" t="s">
        <v>10</v>
      </c>
      <c r="F271" s="11">
        <v>21000</v>
      </c>
      <c r="G271" s="14">
        <v>3</v>
      </c>
      <c r="H271" s="3" t="s">
        <v>24</v>
      </c>
      <c r="I271" s="3" t="s">
        <v>53</v>
      </c>
      <c r="J271" s="3" t="str">
        <f>IFERROR(IF(AND(Table1[[#This Row],[Sales]]=0,Table1[[#This Row],[Quantity]]&lt;&gt;0),"Sales Missing",IF(AND(Table1[[#This Row],[Sales]]&lt;&gt;0,Table1[[#This Row],[Quantity]]=0),"Quantity Missing",IF(AND(Table1[[#This Row],[Sales]]=0,Table1[[#This Row],[Quantity]]=0),"Both Missing","Valid Response"))),"No Data")</f>
        <v>Valid Response</v>
      </c>
    </row>
    <row r="272" spans="2:10" x14ac:dyDescent="0.25">
      <c r="B272" s="17">
        <v>1267</v>
      </c>
      <c r="C272" s="4">
        <v>45684</v>
      </c>
      <c r="D272" s="3" t="s">
        <v>33</v>
      </c>
      <c r="E272" s="3" t="s">
        <v>10</v>
      </c>
      <c r="F272" s="11">
        <v>55000</v>
      </c>
      <c r="G272" s="14">
        <v>1</v>
      </c>
      <c r="H272" s="3" t="s">
        <v>15</v>
      </c>
      <c r="I272" s="3" t="s">
        <v>53</v>
      </c>
      <c r="J272" s="3" t="str">
        <f>IFERROR(IF(AND(Table1[[#This Row],[Sales]]=0,Table1[[#This Row],[Quantity]]&lt;&gt;0),"Sales Missing",IF(AND(Table1[[#This Row],[Sales]]&lt;&gt;0,Table1[[#This Row],[Quantity]]=0),"Quantity Missing",IF(AND(Table1[[#This Row],[Sales]]=0,Table1[[#This Row],[Quantity]]=0),"Both Missing","Valid Response"))),"No Data")</f>
        <v>Valid Response</v>
      </c>
    </row>
    <row r="273" spans="2:10" x14ac:dyDescent="0.25">
      <c r="B273" s="17">
        <v>1268</v>
      </c>
      <c r="C273" s="4">
        <v>45685</v>
      </c>
      <c r="D273" s="3" t="s">
        <v>23</v>
      </c>
      <c r="E273" s="3" t="s">
        <v>19</v>
      </c>
      <c r="F273" s="11">
        <v>15000</v>
      </c>
      <c r="G273" s="14">
        <v>1</v>
      </c>
      <c r="H273" s="3" t="s">
        <v>34</v>
      </c>
      <c r="I273" s="3" t="s">
        <v>31</v>
      </c>
      <c r="J273" s="3" t="str">
        <f>IFERROR(IF(AND(Table1[[#This Row],[Sales]]=0,Table1[[#This Row],[Quantity]]&lt;&gt;0),"Sales Missing",IF(AND(Table1[[#This Row],[Sales]]&lt;&gt;0,Table1[[#This Row],[Quantity]]=0),"Quantity Missing",IF(AND(Table1[[#This Row],[Sales]]=0,Table1[[#This Row],[Quantity]]=0),"Both Missing","Valid Response"))),"No Data")</f>
        <v>Valid Response</v>
      </c>
    </row>
    <row r="274" spans="2:10" x14ac:dyDescent="0.25">
      <c r="B274" s="17">
        <v>1269</v>
      </c>
      <c r="C274" s="4">
        <v>45686</v>
      </c>
      <c r="D274" s="3" t="s">
        <v>33</v>
      </c>
      <c r="E274" s="3" t="s">
        <v>19</v>
      </c>
      <c r="F274" s="11">
        <v>15000</v>
      </c>
      <c r="G274" s="14">
        <v>1</v>
      </c>
      <c r="H274" s="3" t="s">
        <v>24</v>
      </c>
      <c r="I274" s="3" t="s">
        <v>21</v>
      </c>
      <c r="J274" s="3" t="str">
        <f>IFERROR(IF(AND(Table1[[#This Row],[Sales]]=0,Table1[[#This Row],[Quantity]]&lt;&gt;0),"Sales Missing",IF(AND(Table1[[#This Row],[Sales]]&lt;&gt;0,Table1[[#This Row],[Quantity]]=0),"Quantity Missing",IF(AND(Table1[[#This Row],[Sales]]=0,Table1[[#This Row],[Quantity]]=0),"Both Missing","Valid Response"))),"No Data")</f>
        <v>Valid Response</v>
      </c>
    </row>
    <row r="275" spans="2:10" x14ac:dyDescent="0.25">
      <c r="B275" s="17">
        <v>1270</v>
      </c>
      <c r="C275" s="4">
        <v>45687</v>
      </c>
      <c r="D275" s="3" t="s">
        <v>45</v>
      </c>
      <c r="E275" s="3" t="s">
        <v>27</v>
      </c>
      <c r="F275" s="11">
        <v>55000</v>
      </c>
      <c r="G275" s="14">
        <v>1</v>
      </c>
      <c r="H275" s="3" t="s">
        <v>46</v>
      </c>
      <c r="I275" s="3" t="s">
        <v>21</v>
      </c>
      <c r="J275" s="3" t="str">
        <f>IFERROR(IF(AND(Table1[[#This Row],[Sales]]=0,Table1[[#This Row],[Quantity]]&lt;&gt;0),"Sales Missing",IF(AND(Table1[[#This Row],[Sales]]&lt;&gt;0,Table1[[#This Row],[Quantity]]=0),"Quantity Missing",IF(AND(Table1[[#This Row],[Sales]]=0,Table1[[#This Row],[Quantity]]=0),"Both Missing","Valid Response"))),"No Data")</f>
        <v>Valid Response</v>
      </c>
    </row>
    <row r="276" spans="2:10" x14ac:dyDescent="0.25">
      <c r="B276" s="17">
        <v>1271</v>
      </c>
      <c r="C276" s="4">
        <v>45688</v>
      </c>
      <c r="D276" s="3" t="s">
        <v>33</v>
      </c>
      <c r="E276" s="3" t="s">
        <v>19</v>
      </c>
      <c r="F276" s="11">
        <v>20000</v>
      </c>
      <c r="G276" s="14">
        <v>1</v>
      </c>
      <c r="H276" s="3" t="s">
        <v>15</v>
      </c>
      <c r="I276" s="3" t="s">
        <v>31</v>
      </c>
      <c r="J276" s="3" t="str">
        <f>IFERROR(IF(AND(Table1[[#This Row],[Sales]]=0,Table1[[#This Row],[Quantity]]&lt;&gt;0),"Sales Missing",IF(AND(Table1[[#This Row],[Sales]]&lt;&gt;0,Table1[[#This Row],[Quantity]]=0),"Quantity Missing",IF(AND(Table1[[#This Row],[Sales]]=0,Table1[[#This Row],[Quantity]]=0),"Both Missing","Valid Response"))),"No Data")</f>
        <v>Valid Response</v>
      </c>
    </row>
    <row r="277" spans="2:10" x14ac:dyDescent="0.25">
      <c r="B277" s="17">
        <v>1272</v>
      </c>
      <c r="C277" s="4">
        <v>45689</v>
      </c>
      <c r="D277" s="3" t="s">
        <v>23</v>
      </c>
      <c r="E277" s="3" t="s">
        <v>10</v>
      </c>
      <c r="F277" s="11">
        <v>15000</v>
      </c>
      <c r="G277" s="14">
        <v>0</v>
      </c>
      <c r="H277" s="3" t="s">
        <v>28</v>
      </c>
      <c r="I277" s="3" t="s">
        <v>53</v>
      </c>
      <c r="J277" s="3" t="str">
        <f>IFERROR(IF(AND(Table1[[#This Row],[Sales]]=0,Table1[[#This Row],[Quantity]]&lt;&gt;0),"Sales Missing",IF(AND(Table1[[#This Row],[Sales]]&lt;&gt;0,Table1[[#This Row],[Quantity]]=0),"Quantity Missing",IF(AND(Table1[[#This Row],[Sales]]=0,Table1[[#This Row],[Quantity]]=0),"Both Missing","Valid Response"))),"No Data")</f>
        <v>Quantity Missing</v>
      </c>
    </row>
    <row r="278" spans="2:10" x14ac:dyDescent="0.25">
      <c r="B278" s="17">
        <v>1273</v>
      </c>
      <c r="C278" s="4">
        <v>45690</v>
      </c>
      <c r="D278" s="3" t="s">
        <v>45</v>
      </c>
      <c r="E278" s="3" t="s">
        <v>19</v>
      </c>
      <c r="F278" s="11">
        <v>15000</v>
      </c>
      <c r="G278" s="14">
        <v>1</v>
      </c>
      <c r="H278" s="3" t="s">
        <v>11</v>
      </c>
      <c r="I278" s="3" t="s">
        <v>29</v>
      </c>
      <c r="J278" s="3" t="str">
        <f>IFERROR(IF(AND(Table1[[#This Row],[Sales]]=0,Table1[[#This Row],[Quantity]]&lt;&gt;0),"Sales Missing",IF(AND(Table1[[#This Row],[Sales]]&lt;&gt;0,Table1[[#This Row],[Quantity]]=0),"Quantity Missing",IF(AND(Table1[[#This Row],[Sales]]=0,Table1[[#This Row],[Quantity]]=0),"Both Missing","Valid Response"))),"No Data")</f>
        <v>Valid Response</v>
      </c>
    </row>
    <row r="279" spans="2:10" x14ac:dyDescent="0.25">
      <c r="B279" s="17">
        <v>1274</v>
      </c>
      <c r="C279" s="4">
        <v>45691</v>
      </c>
      <c r="D279" s="3" t="s">
        <v>23</v>
      </c>
      <c r="E279" s="3" t="s">
        <v>27</v>
      </c>
      <c r="F279" s="11">
        <v>55000</v>
      </c>
      <c r="G279" s="14">
        <v>2</v>
      </c>
      <c r="H279" s="3" t="s">
        <v>20</v>
      </c>
      <c r="I279" s="3" t="s">
        <v>29</v>
      </c>
      <c r="J279" s="3" t="str">
        <f>IFERROR(IF(AND(Table1[[#This Row],[Sales]]=0,Table1[[#This Row],[Quantity]]&lt;&gt;0),"Sales Missing",IF(AND(Table1[[#This Row],[Sales]]&lt;&gt;0,Table1[[#This Row],[Quantity]]=0),"Quantity Missing",IF(AND(Table1[[#This Row],[Sales]]=0,Table1[[#This Row],[Quantity]]=0),"Both Missing","Valid Response"))),"No Data")</f>
        <v>Valid Response</v>
      </c>
    </row>
    <row r="280" spans="2:10" x14ac:dyDescent="0.25">
      <c r="B280" s="17">
        <v>1275</v>
      </c>
      <c r="C280" s="4">
        <v>45692</v>
      </c>
      <c r="D280" s="3" t="s">
        <v>33</v>
      </c>
      <c r="E280" s="3" t="s">
        <v>27</v>
      </c>
      <c r="F280" s="11">
        <v>48000</v>
      </c>
      <c r="G280" s="14">
        <v>0</v>
      </c>
      <c r="H280" s="3" t="s">
        <v>28</v>
      </c>
      <c r="I280" s="3" t="s">
        <v>29</v>
      </c>
      <c r="J280" s="3" t="str">
        <f>IFERROR(IF(AND(Table1[[#This Row],[Sales]]=0,Table1[[#This Row],[Quantity]]&lt;&gt;0),"Sales Missing",IF(AND(Table1[[#This Row],[Sales]]&lt;&gt;0,Table1[[#This Row],[Quantity]]=0),"Quantity Missing",IF(AND(Table1[[#This Row],[Sales]]=0,Table1[[#This Row],[Quantity]]=0),"Both Missing","Valid Response"))),"No Data")</f>
        <v>Quantity Missing</v>
      </c>
    </row>
    <row r="281" spans="2:10" x14ac:dyDescent="0.25">
      <c r="B281" s="17">
        <v>1276</v>
      </c>
      <c r="C281" s="4">
        <v>45693</v>
      </c>
      <c r="D281" s="3" t="s">
        <v>33</v>
      </c>
      <c r="E281" s="3" t="s">
        <v>19</v>
      </c>
      <c r="F281" s="11">
        <v>20000</v>
      </c>
      <c r="G281" s="14">
        <v>1</v>
      </c>
      <c r="H281" s="3" t="s">
        <v>38</v>
      </c>
      <c r="I281" s="3" t="s">
        <v>31</v>
      </c>
      <c r="J281" s="3" t="str">
        <f>IFERROR(IF(AND(Table1[[#This Row],[Sales]]=0,Table1[[#This Row],[Quantity]]&lt;&gt;0),"Sales Missing",IF(AND(Table1[[#This Row],[Sales]]&lt;&gt;0,Table1[[#This Row],[Quantity]]=0),"Quantity Missing",IF(AND(Table1[[#This Row],[Sales]]=0,Table1[[#This Row],[Quantity]]=0),"Both Missing","Valid Response"))),"No Data")</f>
        <v>Valid Response</v>
      </c>
    </row>
    <row r="282" spans="2:10" x14ac:dyDescent="0.25">
      <c r="B282" s="17">
        <v>1277</v>
      </c>
      <c r="C282" s="4">
        <v>45694</v>
      </c>
      <c r="D282" s="3" t="s">
        <v>23</v>
      </c>
      <c r="E282" s="3" t="s">
        <v>19</v>
      </c>
      <c r="F282" s="11">
        <v>20000</v>
      </c>
      <c r="G282" s="14">
        <v>1</v>
      </c>
      <c r="H282" s="3" t="s">
        <v>46</v>
      </c>
      <c r="I282" s="3" t="s">
        <v>53</v>
      </c>
      <c r="J282" s="3" t="str">
        <f>IFERROR(IF(AND(Table1[[#This Row],[Sales]]=0,Table1[[#This Row],[Quantity]]&lt;&gt;0),"Sales Missing",IF(AND(Table1[[#This Row],[Sales]]&lt;&gt;0,Table1[[#This Row],[Quantity]]=0),"Quantity Missing",IF(AND(Table1[[#This Row],[Sales]]=0,Table1[[#This Row],[Quantity]]=0),"Both Missing","Valid Response"))),"No Data")</f>
        <v>Valid Response</v>
      </c>
    </row>
    <row r="283" spans="2:10" x14ac:dyDescent="0.25">
      <c r="B283" s="17">
        <v>1278</v>
      </c>
      <c r="C283" s="4">
        <v>45695</v>
      </c>
      <c r="D283" s="3" t="s">
        <v>33</v>
      </c>
      <c r="E283" s="3" t="s">
        <v>27</v>
      </c>
      <c r="F283" s="11">
        <v>52000</v>
      </c>
      <c r="G283" s="14">
        <v>1</v>
      </c>
      <c r="H283" s="3" t="s">
        <v>11</v>
      </c>
      <c r="I283" s="3" t="s">
        <v>31</v>
      </c>
      <c r="J283" s="3" t="str">
        <f>IFERROR(IF(AND(Table1[[#This Row],[Sales]]=0,Table1[[#This Row],[Quantity]]&lt;&gt;0),"Sales Missing",IF(AND(Table1[[#This Row],[Sales]]&lt;&gt;0,Table1[[#This Row],[Quantity]]=0),"Quantity Missing",IF(AND(Table1[[#This Row],[Sales]]=0,Table1[[#This Row],[Quantity]]=0),"Both Missing","Valid Response"))),"No Data")</f>
        <v>Valid Response</v>
      </c>
    </row>
    <row r="284" spans="2:10" x14ac:dyDescent="0.25">
      <c r="B284" s="17">
        <v>1279</v>
      </c>
      <c r="C284" s="4">
        <v>45696</v>
      </c>
      <c r="D284" s="3" t="s">
        <v>45</v>
      </c>
      <c r="E284" s="3" t="s">
        <v>27</v>
      </c>
      <c r="F284" s="11">
        <v>20000</v>
      </c>
      <c r="G284" s="14">
        <v>2</v>
      </c>
      <c r="H284" s="3" t="s">
        <v>28</v>
      </c>
      <c r="I284" s="3" t="s">
        <v>31</v>
      </c>
      <c r="J284" s="3" t="str">
        <f>IFERROR(IF(AND(Table1[[#This Row],[Sales]]=0,Table1[[#This Row],[Quantity]]&lt;&gt;0),"Sales Missing",IF(AND(Table1[[#This Row],[Sales]]&lt;&gt;0,Table1[[#This Row],[Quantity]]=0),"Quantity Missing",IF(AND(Table1[[#This Row],[Sales]]=0,Table1[[#This Row],[Quantity]]=0),"Both Missing","Valid Response"))),"No Data")</f>
        <v>Valid Response</v>
      </c>
    </row>
    <row r="285" spans="2:10" x14ac:dyDescent="0.25">
      <c r="B285" s="17">
        <v>1280</v>
      </c>
      <c r="C285" s="4">
        <v>45697</v>
      </c>
      <c r="D285" s="3" t="s">
        <v>315</v>
      </c>
      <c r="E285" s="3" t="s">
        <v>19</v>
      </c>
      <c r="F285" s="11">
        <v>53000</v>
      </c>
      <c r="G285" s="14">
        <v>3</v>
      </c>
      <c r="H285" s="3" t="s">
        <v>24</v>
      </c>
      <c r="I285" s="3" t="s">
        <v>21</v>
      </c>
      <c r="J285" s="3" t="str">
        <f>IFERROR(IF(AND(Table1[[#This Row],[Sales]]=0,Table1[[#This Row],[Quantity]]&lt;&gt;0),"Sales Missing",IF(AND(Table1[[#This Row],[Sales]]&lt;&gt;0,Table1[[#This Row],[Quantity]]=0),"Quantity Missing",IF(AND(Table1[[#This Row],[Sales]]=0,Table1[[#This Row],[Quantity]]=0),"Both Missing","Valid Response"))),"No Data")</f>
        <v>Valid Response</v>
      </c>
    </row>
    <row r="286" spans="2:10" x14ac:dyDescent="0.25">
      <c r="B286" s="17">
        <v>1281</v>
      </c>
      <c r="C286" s="4">
        <v>45698</v>
      </c>
      <c r="D286" s="3" t="s">
        <v>23</v>
      </c>
      <c r="E286" s="3" t="s">
        <v>27</v>
      </c>
      <c r="F286" s="11">
        <v>53000</v>
      </c>
      <c r="G286" s="14">
        <v>2</v>
      </c>
      <c r="H286" s="3" t="s">
        <v>28</v>
      </c>
      <c r="I286" s="3" t="s">
        <v>53</v>
      </c>
      <c r="J286" s="3" t="str">
        <f>IFERROR(IF(AND(Table1[[#This Row],[Sales]]=0,Table1[[#This Row],[Quantity]]&lt;&gt;0),"Sales Missing",IF(AND(Table1[[#This Row],[Sales]]&lt;&gt;0,Table1[[#This Row],[Quantity]]=0),"Quantity Missing",IF(AND(Table1[[#This Row],[Sales]]=0,Table1[[#This Row],[Quantity]]=0),"Both Missing","Valid Response"))),"No Data")</f>
        <v>Valid Response</v>
      </c>
    </row>
    <row r="287" spans="2:10" x14ac:dyDescent="0.25">
      <c r="B287" s="17">
        <v>1282</v>
      </c>
      <c r="C287" s="4">
        <v>45699</v>
      </c>
      <c r="D287" s="3" t="s">
        <v>23</v>
      </c>
      <c r="E287" s="3" t="s">
        <v>10</v>
      </c>
      <c r="F287" s="11">
        <v>53000</v>
      </c>
      <c r="G287" s="14">
        <v>0</v>
      </c>
      <c r="H287" s="3" t="s">
        <v>38</v>
      </c>
      <c r="I287" s="3" t="s">
        <v>21</v>
      </c>
      <c r="J287" s="3" t="str">
        <f>IFERROR(IF(AND(Table1[[#This Row],[Sales]]=0,Table1[[#This Row],[Quantity]]&lt;&gt;0),"Sales Missing",IF(AND(Table1[[#This Row],[Sales]]&lt;&gt;0,Table1[[#This Row],[Quantity]]=0),"Quantity Missing",IF(AND(Table1[[#This Row],[Sales]]=0,Table1[[#This Row],[Quantity]]=0),"Both Missing","Valid Response"))),"No Data")</f>
        <v>Quantity Missing</v>
      </c>
    </row>
    <row r="288" spans="2:10" x14ac:dyDescent="0.25">
      <c r="B288" s="17">
        <v>1283</v>
      </c>
      <c r="C288" s="4">
        <v>45700</v>
      </c>
      <c r="D288" s="3" t="s">
        <v>23</v>
      </c>
      <c r="E288" s="3" t="s">
        <v>27</v>
      </c>
      <c r="F288" s="11">
        <v>21000</v>
      </c>
      <c r="G288" s="14">
        <v>0</v>
      </c>
      <c r="H288" s="3" t="s">
        <v>11</v>
      </c>
      <c r="I288" s="3" t="s">
        <v>53</v>
      </c>
      <c r="J288" s="3" t="str">
        <f>IFERROR(IF(AND(Table1[[#This Row],[Sales]]=0,Table1[[#This Row],[Quantity]]&lt;&gt;0),"Sales Missing",IF(AND(Table1[[#This Row],[Sales]]&lt;&gt;0,Table1[[#This Row],[Quantity]]=0),"Quantity Missing",IF(AND(Table1[[#This Row],[Sales]]=0,Table1[[#This Row],[Quantity]]=0),"Both Missing","Valid Response"))),"No Data")</f>
        <v>Quantity Missing</v>
      </c>
    </row>
    <row r="289" spans="2:10" x14ac:dyDescent="0.25">
      <c r="B289" s="17">
        <v>1284</v>
      </c>
      <c r="C289" s="4">
        <v>45701</v>
      </c>
      <c r="D289" s="3" t="s">
        <v>23</v>
      </c>
      <c r="E289" s="3" t="s">
        <v>19</v>
      </c>
      <c r="F289" s="11">
        <v>20000</v>
      </c>
      <c r="G289" s="14">
        <v>1</v>
      </c>
      <c r="H289" s="3" t="s">
        <v>15</v>
      </c>
      <c r="I289" s="3" t="s">
        <v>21</v>
      </c>
      <c r="J289" s="3" t="str">
        <f>IFERROR(IF(AND(Table1[[#This Row],[Sales]]=0,Table1[[#This Row],[Quantity]]&lt;&gt;0),"Sales Missing",IF(AND(Table1[[#This Row],[Sales]]&lt;&gt;0,Table1[[#This Row],[Quantity]]=0),"Quantity Missing",IF(AND(Table1[[#This Row],[Sales]]=0,Table1[[#This Row],[Quantity]]=0),"Both Missing","Valid Response"))),"No Data")</f>
        <v>Valid Response</v>
      </c>
    </row>
    <row r="290" spans="2:10" x14ac:dyDescent="0.25">
      <c r="B290" s="17">
        <v>1285</v>
      </c>
      <c r="C290" s="4">
        <v>45702</v>
      </c>
      <c r="D290" s="3" t="s">
        <v>33</v>
      </c>
      <c r="E290" s="3" t="s">
        <v>10</v>
      </c>
      <c r="F290" s="11">
        <v>21000</v>
      </c>
      <c r="G290" s="14">
        <v>1</v>
      </c>
      <c r="H290" s="3" t="s">
        <v>46</v>
      </c>
      <c r="I290" s="3" t="s">
        <v>31</v>
      </c>
      <c r="J290" s="3" t="str">
        <f>IFERROR(IF(AND(Table1[[#This Row],[Sales]]=0,Table1[[#This Row],[Quantity]]&lt;&gt;0),"Sales Missing",IF(AND(Table1[[#This Row],[Sales]]&lt;&gt;0,Table1[[#This Row],[Quantity]]=0),"Quantity Missing",IF(AND(Table1[[#This Row],[Sales]]=0,Table1[[#This Row],[Quantity]]=0),"Both Missing","Valid Response"))),"No Data")</f>
        <v>Valid Response</v>
      </c>
    </row>
    <row r="291" spans="2:10" x14ac:dyDescent="0.25">
      <c r="B291" s="17">
        <v>1286</v>
      </c>
      <c r="C291" s="4">
        <v>45703</v>
      </c>
      <c r="D291" s="3" t="s">
        <v>23</v>
      </c>
      <c r="E291" s="3" t="s">
        <v>19</v>
      </c>
      <c r="F291" s="11">
        <v>20000</v>
      </c>
      <c r="G291" s="14">
        <v>1</v>
      </c>
      <c r="H291" s="3" t="s">
        <v>38</v>
      </c>
      <c r="I291" s="3" t="s">
        <v>21</v>
      </c>
      <c r="J291" s="3" t="str">
        <f>IFERROR(IF(AND(Table1[[#This Row],[Sales]]=0,Table1[[#This Row],[Quantity]]&lt;&gt;0),"Sales Missing",IF(AND(Table1[[#This Row],[Sales]]&lt;&gt;0,Table1[[#This Row],[Quantity]]=0),"Quantity Missing",IF(AND(Table1[[#This Row],[Sales]]=0,Table1[[#This Row],[Quantity]]=0),"Both Missing","Valid Response"))),"No Data")</f>
        <v>Valid Response</v>
      </c>
    </row>
    <row r="292" spans="2:10" x14ac:dyDescent="0.25">
      <c r="B292" s="17">
        <v>1287</v>
      </c>
      <c r="C292" s="4">
        <v>45704</v>
      </c>
      <c r="D292" s="3" t="s">
        <v>315</v>
      </c>
      <c r="E292" s="3" t="s">
        <v>19</v>
      </c>
      <c r="F292" s="11">
        <v>20000</v>
      </c>
      <c r="G292" s="14">
        <v>1</v>
      </c>
      <c r="H292" s="3" t="s">
        <v>38</v>
      </c>
      <c r="I292" s="3" t="s">
        <v>31</v>
      </c>
      <c r="J292" s="3" t="str">
        <f>IFERROR(IF(AND(Table1[[#This Row],[Sales]]=0,Table1[[#This Row],[Quantity]]&lt;&gt;0),"Sales Missing",IF(AND(Table1[[#This Row],[Sales]]&lt;&gt;0,Table1[[#This Row],[Quantity]]=0),"Quantity Missing",IF(AND(Table1[[#This Row],[Sales]]=0,Table1[[#This Row],[Quantity]]=0),"Both Missing","Valid Response"))),"No Data")</f>
        <v>Valid Response</v>
      </c>
    </row>
    <row r="293" spans="2:10" x14ac:dyDescent="0.25">
      <c r="B293" s="17">
        <v>1288</v>
      </c>
      <c r="C293" s="4">
        <v>45705</v>
      </c>
      <c r="D293" s="3" t="s">
        <v>33</v>
      </c>
      <c r="E293" s="3" t="s">
        <v>19</v>
      </c>
      <c r="F293" s="11">
        <v>21000</v>
      </c>
      <c r="G293" s="14">
        <v>2</v>
      </c>
      <c r="H293" s="3" t="s">
        <v>24</v>
      </c>
      <c r="I293" s="3" t="s">
        <v>31</v>
      </c>
      <c r="J293" s="3" t="str">
        <f>IFERROR(IF(AND(Table1[[#This Row],[Sales]]=0,Table1[[#This Row],[Quantity]]&lt;&gt;0),"Sales Missing",IF(AND(Table1[[#This Row],[Sales]]&lt;&gt;0,Table1[[#This Row],[Quantity]]=0),"Quantity Missing",IF(AND(Table1[[#This Row],[Sales]]=0,Table1[[#This Row],[Quantity]]=0),"Both Missing","Valid Response"))),"No Data")</f>
        <v>Valid Response</v>
      </c>
    </row>
    <row r="294" spans="2:10" x14ac:dyDescent="0.25">
      <c r="B294" s="17">
        <v>1289</v>
      </c>
      <c r="C294" s="4">
        <v>45706</v>
      </c>
      <c r="D294" s="3" t="s">
        <v>33</v>
      </c>
      <c r="E294" s="3" t="s">
        <v>19</v>
      </c>
      <c r="F294" s="11">
        <v>15000</v>
      </c>
      <c r="G294" s="14">
        <v>2</v>
      </c>
      <c r="H294" s="3" t="s">
        <v>20</v>
      </c>
      <c r="I294" s="3" t="s">
        <v>21</v>
      </c>
      <c r="J294" s="3" t="str">
        <f>IFERROR(IF(AND(Table1[[#This Row],[Sales]]=0,Table1[[#This Row],[Quantity]]&lt;&gt;0),"Sales Missing",IF(AND(Table1[[#This Row],[Sales]]&lt;&gt;0,Table1[[#This Row],[Quantity]]=0),"Quantity Missing",IF(AND(Table1[[#This Row],[Sales]]=0,Table1[[#This Row],[Quantity]]=0),"Both Missing","Valid Response"))),"No Data")</f>
        <v>Valid Response</v>
      </c>
    </row>
    <row r="295" spans="2:10" x14ac:dyDescent="0.25">
      <c r="B295" s="17">
        <v>1290</v>
      </c>
      <c r="C295" s="4">
        <v>45707</v>
      </c>
      <c r="D295" s="3" t="s">
        <v>23</v>
      </c>
      <c r="E295" s="3" t="s">
        <v>10</v>
      </c>
      <c r="F295" s="11">
        <v>0</v>
      </c>
      <c r="G295" s="14">
        <v>1</v>
      </c>
      <c r="H295" s="3" t="s">
        <v>34</v>
      </c>
      <c r="I295" s="3" t="s">
        <v>31</v>
      </c>
      <c r="J295" s="3" t="str">
        <f>IFERROR(IF(AND(Table1[[#This Row],[Sales]]=0,Table1[[#This Row],[Quantity]]&lt;&gt;0),"Sales Missing",IF(AND(Table1[[#This Row],[Sales]]&lt;&gt;0,Table1[[#This Row],[Quantity]]=0),"Quantity Missing",IF(AND(Table1[[#This Row],[Sales]]=0,Table1[[#This Row],[Quantity]]=0),"Both Missing","Valid Response"))),"No Data")</f>
        <v>Sales Missing</v>
      </c>
    </row>
    <row r="296" spans="2:10" x14ac:dyDescent="0.25">
      <c r="B296" s="17">
        <v>1291</v>
      </c>
      <c r="C296" s="4">
        <v>45708</v>
      </c>
      <c r="D296" s="3" t="s">
        <v>45</v>
      </c>
      <c r="E296" s="3" t="s">
        <v>27</v>
      </c>
      <c r="F296" s="11">
        <v>53000</v>
      </c>
      <c r="G296" s="14">
        <v>1</v>
      </c>
      <c r="H296" s="3" t="s">
        <v>34</v>
      </c>
      <c r="I296" s="3" t="s">
        <v>21</v>
      </c>
      <c r="J296" s="3" t="str">
        <f>IFERROR(IF(AND(Table1[[#This Row],[Sales]]=0,Table1[[#This Row],[Quantity]]&lt;&gt;0),"Sales Missing",IF(AND(Table1[[#This Row],[Sales]]&lt;&gt;0,Table1[[#This Row],[Quantity]]=0),"Quantity Missing",IF(AND(Table1[[#This Row],[Sales]]=0,Table1[[#This Row],[Quantity]]=0),"Both Missing","Valid Response"))),"No Data")</f>
        <v>Valid Response</v>
      </c>
    </row>
    <row r="297" spans="2:10" x14ac:dyDescent="0.25">
      <c r="B297" s="17">
        <v>1292</v>
      </c>
      <c r="C297" s="4">
        <v>45709</v>
      </c>
      <c r="D297" s="3" t="s">
        <v>33</v>
      </c>
      <c r="E297" s="3" t="s">
        <v>19</v>
      </c>
      <c r="F297" s="11">
        <v>48000</v>
      </c>
      <c r="G297" s="14">
        <v>3</v>
      </c>
      <c r="H297" s="3" t="s">
        <v>15</v>
      </c>
      <c r="I297" s="3" t="s">
        <v>21</v>
      </c>
      <c r="J297" s="3" t="str">
        <f>IFERROR(IF(AND(Table1[[#This Row],[Sales]]=0,Table1[[#This Row],[Quantity]]&lt;&gt;0),"Sales Missing",IF(AND(Table1[[#This Row],[Sales]]&lt;&gt;0,Table1[[#This Row],[Quantity]]=0),"Quantity Missing",IF(AND(Table1[[#This Row],[Sales]]=0,Table1[[#This Row],[Quantity]]=0),"Both Missing","Valid Response"))),"No Data")</f>
        <v>Valid Response</v>
      </c>
    </row>
    <row r="298" spans="2:10" x14ac:dyDescent="0.25">
      <c r="B298" s="17">
        <v>1293</v>
      </c>
      <c r="C298" s="4">
        <v>45710</v>
      </c>
      <c r="D298" s="3" t="s">
        <v>314</v>
      </c>
      <c r="E298" s="3" t="s">
        <v>19</v>
      </c>
      <c r="F298" s="11">
        <v>15000</v>
      </c>
      <c r="G298" s="14">
        <v>0</v>
      </c>
      <c r="H298" s="3" t="s">
        <v>20</v>
      </c>
      <c r="I298" s="3" t="s">
        <v>31</v>
      </c>
      <c r="J298" s="3" t="str">
        <f>IFERROR(IF(AND(Table1[[#This Row],[Sales]]=0,Table1[[#This Row],[Quantity]]&lt;&gt;0),"Sales Missing",IF(AND(Table1[[#This Row],[Sales]]&lt;&gt;0,Table1[[#This Row],[Quantity]]=0),"Quantity Missing",IF(AND(Table1[[#This Row],[Sales]]=0,Table1[[#This Row],[Quantity]]=0),"Both Missing","Valid Response"))),"No Data")</f>
        <v>Quantity Missing</v>
      </c>
    </row>
    <row r="299" spans="2:10" x14ac:dyDescent="0.25">
      <c r="B299" s="17">
        <v>1294</v>
      </c>
      <c r="C299" s="4">
        <v>45711</v>
      </c>
      <c r="D299" s="3" t="s">
        <v>33</v>
      </c>
      <c r="E299" s="3" t="s">
        <v>27</v>
      </c>
      <c r="F299" s="11">
        <v>48000</v>
      </c>
      <c r="G299" s="14">
        <v>2</v>
      </c>
      <c r="H299" s="3" t="s">
        <v>46</v>
      </c>
      <c r="I299" s="3" t="s">
        <v>31</v>
      </c>
      <c r="J299" s="3" t="str">
        <f>IFERROR(IF(AND(Table1[[#This Row],[Sales]]=0,Table1[[#This Row],[Quantity]]&lt;&gt;0),"Sales Missing",IF(AND(Table1[[#This Row],[Sales]]&lt;&gt;0,Table1[[#This Row],[Quantity]]=0),"Quantity Missing",IF(AND(Table1[[#This Row],[Sales]]=0,Table1[[#This Row],[Quantity]]=0),"Both Missing","Valid Response"))),"No Data")</f>
        <v>Valid Response</v>
      </c>
    </row>
    <row r="300" spans="2:10" x14ac:dyDescent="0.25">
      <c r="B300" s="17">
        <v>1295</v>
      </c>
      <c r="C300" s="4">
        <v>45712</v>
      </c>
      <c r="D300" s="3" t="s">
        <v>45</v>
      </c>
      <c r="E300" s="3" t="s">
        <v>19</v>
      </c>
      <c r="F300" s="11">
        <v>21000</v>
      </c>
      <c r="G300" s="14">
        <v>1</v>
      </c>
      <c r="H300" s="3" t="s">
        <v>28</v>
      </c>
      <c r="I300" s="3" t="s">
        <v>53</v>
      </c>
      <c r="J300" s="3" t="str">
        <f>IFERROR(IF(AND(Table1[[#This Row],[Sales]]=0,Table1[[#This Row],[Quantity]]&lt;&gt;0),"Sales Missing",IF(AND(Table1[[#This Row],[Sales]]&lt;&gt;0,Table1[[#This Row],[Quantity]]=0),"Quantity Missing",IF(AND(Table1[[#This Row],[Sales]]=0,Table1[[#This Row],[Quantity]]=0),"Both Missing","Valid Response"))),"No Data")</f>
        <v>Valid Response</v>
      </c>
    </row>
    <row r="301" spans="2:10" x14ac:dyDescent="0.25">
      <c r="B301" s="17">
        <v>1296</v>
      </c>
      <c r="C301" s="4">
        <v>45713</v>
      </c>
      <c r="D301" s="3" t="s">
        <v>314</v>
      </c>
      <c r="E301" s="3" t="s">
        <v>19</v>
      </c>
      <c r="F301" s="11">
        <v>15000</v>
      </c>
      <c r="G301" s="14">
        <v>1</v>
      </c>
      <c r="H301" s="3" t="s">
        <v>15</v>
      </c>
      <c r="I301" s="3" t="s">
        <v>53</v>
      </c>
      <c r="J301" s="3" t="str">
        <f>IFERROR(IF(AND(Table1[[#This Row],[Sales]]=0,Table1[[#This Row],[Quantity]]&lt;&gt;0),"Sales Missing",IF(AND(Table1[[#This Row],[Sales]]&lt;&gt;0,Table1[[#This Row],[Quantity]]=0),"Quantity Missing",IF(AND(Table1[[#This Row],[Sales]]=0,Table1[[#This Row],[Quantity]]=0),"Both Missing","Valid Response"))),"No Data")</f>
        <v>Valid Response</v>
      </c>
    </row>
    <row r="302" spans="2:10" x14ac:dyDescent="0.25">
      <c r="B302" s="17">
        <v>1297</v>
      </c>
      <c r="C302" s="4">
        <v>45714</v>
      </c>
      <c r="D302" s="3" t="s">
        <v>315</v>
      </c>
      <c r="E302" s="3" t="s">
        <v>27</v>
      </c>
      <c r="F302" s="11">
        <v>0</v>
      </c>
      <c r="G302" s="14">
        <v>1</v>
      </c>
      <c r="H302" s="3" t="s">
        <v>24</v>
      </c>
      <c r="I302" s="3" t="s">
        <v>29</v>
      </c>
      <c r="J302" s="3" t="str">
        <f>IFERROR(IF(AND(Table1[[#This Row],[Sales]]=0,Table1[[#This Row],[Quantity]]&lt;&gt;0),"Sales Missing",IF(AND(Table1[[#This Row],[Sales]]&lt;&gt;0,Table1[[#This Row],[Quantity]]=0),"Quantity Missing",IF(AND(Table1[[#This Row],[Sales]]=0,Table1[[#This Row],[Quantity]]=0),"Both Missing","Valid Response"))),"No Data")</f>
        <v>Sales Missing</v>
      </c>
    </row>
    <row r="303" spans="2:10" x14ac:dyDescent="0.25">
      <c r="B303" s="17">
        <v>1298</v>
      </c>
      <c r="C303" s="4">
        <v>45715</v>
      </c>
      <c r="D303" s="3" t="s">
        <v>315</v>
      </c>
      <c r="E303" s="3" t="s">
        <v>27</v>
      </c>
      <c r="F303" s="11">
        <v>20000</v>
      </c>
      <c r="G303" s="14">
        <v>0</v>
      </c>
      <c r="H303" s="3" t="s">
        <v>11</v>
      </c>
      <c r="I303" s="3" t="s">
        <v>29</v>
      </c>
      <c r="J303" s="3" t="str">
        <f>IFERROR(IF(AND(Table1[[#This Row],[Sales]]=0,Table1[[#This Row],[Quantity]]&lt;&gt;0),"Sales Missing",IF(AND(Table1[[#This Row],[Sales]]&lt;&gt;0,Table1[[#This Row],[Quantity]]=0),"Quantity Missing",IF(AND(Table1[[#This Row],[Sales]]=0,Table1[[#This Row],[Quantity]]=0),"Both Missing","Valid Response"))),"No Data")</f>
        <v>Quantity Missing</v>
      </c>
    </row>
    <row r="304" spans="2:10" x14ac:dyDescent="0.25">
      <c r="B304" s="17">
        <v>1299</v>
      </c>
      <c r="C304" s="4">
        <v>45716</v>
      </c>
      <c r="D304" s="3" t="s">
        <v>45</v>
      </c>
      <c r="E304" s="3" t="s">
        <v>19</v>
      </c>
      <c r="F304" s="11">
        <v>21000</v>
      </c>
      <c r="G304" s="14">
        <v>2</v>
      </c>
      <c r="H304" s="3" t="s">
        <v>46</v>
      </c>
      <c r="I304" s="3" t="s">
        <v>21</v>
      </c>
      <c r="J304" s="3" t="str">
        <f>IFERROR(IF(AND(Table1[[#This Row],[Sales]]=0,Table1[[#This Row],[Quantity]]&lt;&gt;0),"Sales Missing",IF(AND(Table1[[#This Row],[Sales]]&lt;&gt;0,Table1[[#This Row],[Quantity]]=0),"Quantity Missing",IF(AND(Table1[[#This Row],[Sales]]=0,Table1[[#This Row],[Quantity]]=0),"Both Missing","Valid Response"))),"No Data")</f>
        <v>Valid Response</v>
      </c>
    </row>
    <row r="305" spans="2:10" x14ac:dyDescent="0.25">
      <c r="B305" s="17">
        <v>1300</v>
      </c>
      <c r="C305" s="4">
        <v>45717</v>
      </c>
      <c r="D305" s="3" t="s">
        <v>45</v>
      </c>
      <c r="E305" s="3" t="s">
        <v>10</v>
      </c>
      <c r="F305" s="11">
        <v>15000</v>
      </c>
      <c r="G305" s="14">
        <v>3</v>
      </c>
      <c r="H305" s="3" t="s">
        <v>34</v>
      </c>
      <c r="I305" s="3" t="s">
        <v>53</v>
      </c>
      <c r="J305" s="3" t="str">
        <f>IFERROR(IF(AND(Table1[[#This Row],[Sales]]=0,Table1[[#This Row],[Quantity]]&lt;&gt;0),"Sales Missing",IF(AND(Table1[[#This Row],[Sales]]&lt;&gt;0,Table1[[#This Row],[Quantity]]=0),"Quantity Missing",IF(AND(Table1[[#This Row],[Sales]]=0,Table1[[#This Row],[Quantity]]=0),"Both Missing","Valid Response"))),"No Data")</f>
        <v>Valid Response</v>
      </c>
    </row>
    <row r="306" spans="2:10" x14ac:dyDescent="0.25">
      <c r="B306" s="17">
        <v>1301</v>
      </c>
      <c r="C306" s="4">
        <v>45718</v>
      </c>
      <c r="D306" s="3" t="s">
        <v>23</v>
      </c>
      <c r="E306" s="3" t="s">
        <v>27</v>
      </c>
      <c r="F306" s="11">
        <v>53000</v>
      </c>
      <c r="G306" s="14">
        <v>1</v>
      </c>
      <c r="H306" s="3" t="s">
        <v>38</v>
      </c>
      <c r="I306" s="3" t="s">
        <v>53</v>
      </c>
      <c r="J306" s="3" t="str">
        <f>IFERROR(IF(AND(Table1[[#This Row],[Sales]]=0,Table1[[#This Row],[Quantity]]&lt;&gt;0),"Sales Missing",IF(AND(Table1[[#This Row],[Sales]]&lt;&gt;0,Table1[[#This Row],[Quantity]]=0),"Quantity Missing",IF(AND(Table1[[#This Row],[Sales]]=0,Table1[[#This Row],[Quantity]]=0),"Both Missing","Valid Response"))),"No Data")</f>
        <v>Valid Response</v>
      </c>
    </row>
    <row r="307" spans="2:10" x14ac:dyDescent="0.25">
      <c r="B307" s="17">
        <v>1302</v>
      </c>
      <c r="C307" s="4">
        <v>45719</v>
      </c>
      <c r="D307" s="3" t="s">
        <v>315</v>
      </c>
      <c r="E307" s="3" t="s">
        <v>19</v>
      </c>
      <c r="F307" s="11">
        <v>20000</v>
      </c>
      <c r="G307" s="14">
        <v>0</v>
      </c>
      <c r="H307" s="3" t="s">
        <v>11</v>
      </c>
      <c r="I307" s="3" t="s">
        <v>29</v>
      </c>
      <c r="J307" s="3" t="str">
        <f>IFERROR(IF(AND(Table1[[#This Row],[Sales]]=0,Table1[[#This Row],[Quantity]]&lt;&gt;0),"Sales Missing",IF(AND(Table1[[#This Row],[Sales]]&lt;&gt;0,Table1[[#This Row],[Quantity]]=0),"Quantity Missing",IF(AND(Table1[[#This Row],[Sales]]=0,Table1[[#This Row],[Quantity]]=0),"Both Missing","Valid Response"))),"No Data")</f>
        <v>Quantity Missing</v>
      </c>
    </row>
    <row r="308" spans="2:10" x14ac:dyDescent="0.25">
      <c r="B308" s="17">
        <v>1303</v>
      </c>
      <c r="C308" s="4">
        <v>45720</v>
      </c>
      <c r="D308" s="3" t="s">
        <v>314</v>
      </c>
      <c r="E308" s="3" t="s">
        <v>19</v>
      </c>
      <c r="F308" s="11">
        <v>52000</v>
      </c>
      <c r="G308" s="14">
        <v>2</v>
      </c>
      <c r="H308" s="3" t="s">
        <v>11</v>
      </c>
      <c r="I308" s="3" t="s">
        <v>31</v>
      </c>
      <c r="J308" s="3" t="str">
        <f>IFERROR(IF(AND(Table1[[#This Row],[Sales]]=0,Table1[[#This Row],[Quantity]]&lt;&gt;0),"Sales Missing",IF(AND(Table1[[#This Row],[Sales]]&lt;&gt;0,Table1[[#This Row],[Quantity]]=0),"Quantity Missing",IF(AND(Table1[[#This Row],[Sales]]=0,Table1[[#This Row],[Quantity]]=0),"Both Missing","Valid Response"))),"No Data")</f>
        <v>Valid Response</v>
      </c>
    </row>
    <row r="309" spans="2:10" x14ac:dyDescent="0.25">
      <c r="B309" s="17">
        <v>1304</v>
      </c>
      <c r="C309" s="4">
        <v>45721</v>
      </c>
      <c r="D309" s="3" t="s">
        <v>315</v>
      </c>
      <c r="E309" s="3" t="s">
        <v>19</v>
      </c>
      <c r="F309" s="11">
        <v>0</v>
      </c>
      <c r="G309" s="14">
        <v>2</v>
      </c>
      <c r="H309" s="3" t="s">
        <v>46</v>
      </c>
      <c r="I309" s="3" t="s">
        <v>21</v>
      </c>
      <c r="J309" s="3" t="str">
        <f>IFERROR(IF(AND(Table1[[#This Row],[Sales]]=0,Table1[[#This Row],[Quantity]]&lt;&gt;0),"Sales Missing",IF(AND(Table1[[#This Row],[Sales]]&lt;&gt;0,Table1[[#This Row],[Quantity]]=0),"Quantity Missing",IF(AND(Table1[[#This Row],[Sales]]=0,Table1[[#This Row],[Quantity]]=0),"Both Missing","Valid Response"))),"No Data")</f>
        <v>Sales Missing</v>
      </c>
    </row>
    <row r="310" spans="2:10" x14ac:dyDescent="0.25">
      <c r="B310" s="17">
        <v>1305</v>
      </c>
      <c r="C310" s="4">
        <v>45722</v>
      </c>
      <c r="D310" s="3" t="s">
        <v>33</v>
      </c>
      <c r="E310" s="3" t="s">
        <v>27</v>
      </c>
      <c r="F310" s="11">
        <v>21000</v>
      </c>
      <c r="G310" s="14">
        <v>1</v>
      </c>
      <c r="H310" s="3" t="s">
        <v>24</v>
      </c>
      <c r="I310" s="3" t="s">
        <v>29</v>
      </c>
      <c r="J310" s="3" t="str">
        <f>IFERROR(IF(AND(Table1[[#This Row],[Sales]]=0,Table1[[#This Row],[Quantity]]&lt;&gt;0),"Sales Missing",IF(AND(Table1[[#This Row],[Sales]]&lt;&gt;0,Table1[[#This Row],[Quantity]]=0),"Quantity Missing",IF(AND(Table1[[#This Row],[Sales]]=0,Table1[[#This Row],[Quantity]]=0),"Both Missing","Valid Response"))),"No Data")</f>
        <v>Valid Response</v>
      </c>
    </row>
    <row r="311" spans="2:10" x14ac:dyDescent="0.25">
      <c r="B311" s="17">
        <v>1306</v>
      </c>
      <c r="C311" s="4">
        <v>45723</v>
      </c>
      <c r="D311" s="3" t="s">
        <v>33</v>
      </c>
      <c r="E311" s="3" t="s">
        <v>27</v>
      </c>
      <c r="F311" s="11">
        <v>15000</v>
      </c>
      <c r="G311" s="14">
        <v>2</v>
      </c>
      <c r="H311" s="3" t="s">
        <v>15</v>
      </c>
      <c r="I311" s="3" t="s">
        <v>53</v>
      </c>
      <c r="J311" s="3" t="str">
        <f>IFERROR(IF(AND(Table1[[#This Row],[Sales]]=0,Table1[[#This Row],[Quantity]]&lt;&gt;0),"Sales Missing",IF(AND(Table1[[#This Row],[Sales]]&lt;&gt;0,Table1[[#This Row],[Quantity]]=0),"Quantity Missing",IF(AND(Table1[[#This Row],[Sales]]=0,Table1[[#This Row],[Quantity]]=0),"Both Missing","Valid Response"))),"No Data")</f>
        <v>Valid Response</v>
      </c>
    </row>
    <row r="312" spans="2:10" x14ac:dyDescent="0.25">
      <c r="B312" s="17">
        <v>1307</v>
      </c>
      <c r="C312" s="4">
        <v>45724</v>
      </c>
      <c r="D312" s="3" t="s">
        <v>33</v>
      </c>
      <c r="E312" s="3" t="s">
        <v>10</v>
      </c>
      <c r="F312" s="11">
        <v>48000</v>
      </c>
      <c r="G312" s="14">
        <v>0</v>
      </c>
      <c r="H312" s="3" t="s">
        <v>28</v>
      </c>
      <c r="I312" s="3" t="s">
        <v>53</v>
      </c>
      <c r="J312" s="3" t="str">
        <f>IFERROR(IF(AND(Table1[[#This Row],[Sales]]=0,Table1[[#This Row],[Quantity]]&lt;&gt;0),"Sales Missing",IF(AND(Table1[[#This Row],[Sales]]&lt;&gt;0,Table1[[#This Row],[Quantity]]=0),"Quantity Missing",IF(AND(Table1[[#This Row],[Sales]]=0,Table1[[#This Row],[Quantity]]=0),"Both Missing","Valid Response"))),"No Data")</f>
        <v>Quantity Missing</v>
      </c>
    </row>
    <row r="313" spans="2:10" x14ac:dyDescent="0.25">
      <c r="B313" s="17">
        <v>1308</v>
      </c>
      <c r="C313" s="4">
        <v>45725</v>
      </c>
      <c r="D313" s="3" t="s">
        <v>33</v>
      </c>
      <c r="E313" s="3" t="s">
        <v>27</v>
      </c>
      <c r="F313" s="11">
        <v>48000</v>
      </c>
      <c r="G313" s="14">
        <v>0</v>
      </c>
      <c r="H313" s="3" t="s">
        <v>34</v>
      </c>
      <c r="I313" s="3" t="s">
        <v>53</v>
      </c>
      <c r="J313" s="3" t="str">
        <f>IFERROR(IF(AND(Table1[[#This Row],[Sales]]=0,Table1[[#This Row],[Quantity]]&lt;&gt;0),"Sales Missing",IF(AND(Table1[[#This Row],[Sales]]&lt;&gt;0,Table1[[#This Row],[Quantity]]=0),"Quantity Missing",IF(AND(Table1[[#This Row],[Sales]]=0,Table1[[#This Row],[Quantity]]=0),"Both Missing","Valid Response"))),"No Data")</f>
        <v>Quantity Missing</v>
      </c>
    </row>
    <row r="314" spans="2:10" x14ac:dyDescent="0.25">
      <c r="B314" s="17">
        <v>1309</v>
      </c>
      <c r="C314" s="4">
        <v>45726</v>
      </c>
      <c r="D314" s="3" t="s">
        <v>315</v>
      </c>
      <c r="E314" s="3" t="s">
        <v>27</v>
      </c>
      <c r="F314" s="11">
        <v>0</v>
      </c>
      <c r="G314" s="14">
        <v>3</v>
      </c>
      <c r="H314" s="3" t="s">
        <v>28</v>
      </c>
      <c r="I314" s="3" t="s">
        <v>53</v>
      </c>
      <c r="J314" s="3" t="str">
        <f>IFERROR(IF(AND(Table1[[#This Row],[Sales]]=0,Table1[[#This Row],[Quantity]]&lt;&gt;0),"Sales Missing",IF(AND(Table1[[#This Row],[Sales]]&lt;&gt;0,Table1[[#This Row],[Quantity]]=0),"Quantity Missing",IF(AND(Table1[[#This Row],[Sales]]=0,Table1[[#This Row],[Quantity]]=0),"Both Missing","Valid Response"))),"No Data")</f>
        <v>Sales Missing</v>
      </c>
    </row>
    <row r="315" spans="2:10" x14ac:dyDescent="0.25">
      <c r="B315" s="17">
        <v>1310</v>
      </c>
      <c r="C315" s="4">
        <v>45727</v>
      </c>
      <c r="D315" s="3" t="s">
        <v>23</v>
      </c>
      <c r="E315" s="3" t="s">
        <v>27</v>
      </c>
      <c r="F315" s="11">
        <v>0</v>
      </c>
      <c r="G315" s="14">
        <v>1</v>
      </c>
      <c r="H315" s="3" t="s">
        <v>28</v>
      </c>
      <c r="I315" s="3" t="s">
        <v>53</v>
      </c>
      <c r="J315" s="3" t="str">
        <f>IFERROR(IF(AND(Table1[[#This Row],[Sales]]=0,Table1[[#This Row],[Quantity]]&lt;&gt;0),"Sales Missing",IF(AND(Table1[[#This Row],[Sales]]&lt;&gt;0,Table1[[#This Row],[Quantity]]=0),"Quantity Missing",IF(AND(Table1[[#This Row],[Sales]]=0,Table1[[#This Row],[Quantity]]=0),"Both Missing","Valid Response"))),"No Data")</f>
        <v>Sales Missing</v>
      </c>
    </row>
    <row r="316" spans="2:10" x14ac:dyDescent="0.25">
      <c r="B316" s="17">
        <v>1311</v>
      </c>
      <c r="C316" s="4">
        <v>45728</v>
      </c>
      <c r="D316" s="3" t="s">
        <v>23</v>
      </c>
      <c r="E316" s="3" t="s">
        <v>19</v>
      </c>
      <c r="F316" s="11">
        <v>21000</v>
      </c>
      <c r="G316" s="14">
        <v>3</v>
      </c>
      <c r="H316" s="3" t="s">
        <v>34</v>
      </c>
      <c r="I316" s="3" t="s">
        <v>53</v>
      </c>
      <c r="J316" s="3" t="str">
        <f>IFERROR(IF(AND(Table1[[#This Row],[Sales]]=0,Table1[[#This Row],[Quantity]]&lt;&gt;0),"Sales Missing",IF(AND(Table1[[#This Row],[Sales]]&lt;&gt;0,Table1[[#This Row],[Quantity]]=0),"Quantity Missing",IF(AND(Table1[[#This Row],[Sales]]=0,Table1[[#This Row],[Quantity]]=0),"Both Missing","Valid Response"))),"No Data")</f>
        <v>Valid Response</v>
      </c>
    </row>
    <row r="317" spans="2:10" x14ac:dyDescent="0.25">
      <c r="B317" s="17">
        <v>1312</v>
      </c>
      <c r="C317" s="4">
        <v>45729</v>
      </c>
      <c r="D317" s="3" t="s">
        <v>23</v>
      </c>
      <c r="E317" s="3" t="s">
        <v>27</v>
      </c>
      <c r="F317" s="11">
        <v>20000</v>
      </c>
      <c r="G317" s="14">
        <v>1</v>
      </c>
      <c r="H317" s="3" t="s">
        <v>38</v>
      </c>
      <c r="I317" s="3" t="s">
        <v>29</v>
      </c>
      <c r="J317" s="3" t="str">
        <f>IFERROR(IF(AND(Table1[[#This Row],[Sales]]=0,Table1[[#This Row],[Quantity]]&lt;&gt;0),"Sales Missing",IF(AND(Table1[[#This Row],[Sales]]&lt;&gt;0,Table1[[#This Row],[Quantity]]=0),"Quantity Missing",IF(AND(Table1[[#This Row],[Sales]]=0,Table1[[#This Row],[Quantity]]=0),"Both Missing","Valid Response"))),"No Data")</f>
        <v>Valid Response</v>
      </c>
    </row>
    <row r="318" spans="2:10" x14ac:dyDescent="0.25">
      <c r="B318" s="17">
        <v>1313</v>
      </c>
      <c r="C318" s="4">
        <v>45730</v>
      </c>
      <c r="D318" s="3" t="s">
        <v>315</v>
      </c>
      <c r="E318" s="3" t="s">
        <v>19</v>
      </c>
      <c r="F318" s="11">
        <v>48000</v>
      </c>
      <c r="G318" s="14">
        <v>3</v>
      </c>
      <c r="H318" s="3" t="s">
        <v>24</v>
      </c>
      <c r="I318" s="3" t="s">
        <v>21</v>
      </c>
      <c r="J318" s="3" t="str">
        <f>IFERROR(IF(AND(Table1[[#This Row],[Sales]]=0,Table1[[#This Row],[Quantity]]&lt;&gt;0),"Sales Missing",IF(AND(Table1[[#This Row],[Sales]]&lt;&gt;0,Table1[[#This Row],[Quantity]]=0),"Quantity Missing",IF(AND(Table1[[#This Row],[Sales]]=0,Table1[[#This Row],[Quantity]]=0),"Both Missing","Valid Response"))),"No Data")</f>
        <v>Valid Response</v>
      </c>
    </row>
    <row r="319" spans="2:10" x14ac:dyDescent="0.25">
      <c r="B319" s="17">
        <v>1314</v>
      </c>
      <c r="C319" s="4">
        <v>45731</v>
      </c>
      <c r="D319" s="3" t="s">
        <v>23</v>
      </c>
      <c r="E319" s="3" t="s">
        <v>27</v>
      </c>
      <c r="F319" s="11">
        <v>21000</v>
      </c>
      <c r="G319" s="14">
        <v>2</v>
      </c>
      <c r="H319" s="3" t="s">
        <v>15</v>
      </c>
      <c r="I319" s="3" t="s">
        <v>29</v>
      </c>
      <c r="J319" s="3" t="str">
        <f>IFERROR(IF(AND(Table1[[#This Row],[Sales]]=0,Table1[[#This Row],[Quantity]]&lt;&gt;0),"Sales Missing",IF(AND(Table1[[#This Row],[Sales]]&lt;&gt;0,Table1[[#This Row],[Quantity]]=0),"Quantity Missing",IF(AND(Table1[[#This Row],[Sales]]=0,Table1[[#This Row],[Quantity]]=0),"Both Missing","Valid Response"))),"No Data")</f>
        <v>Valid Response</v>
      </c>
    </row>
    <row r="320" spans="2:10" x14ac:dyDescent="0.25">
      <c r="B320" s="17">
        <v>1315</v>
      </c>
      <c r="C320" s="4">
        <v>45732</v>
      </c>
      <c r="D320" s="3" t="s">
        <v>45</v>
      </c>
      <c r="E320" s="3" t="s">
        <v>27</v>
      </c>
      <c r="F320" s="11">
        <v>20000</v>
      </c>
      <c r="G320" s="14">
        <v>3</v>
      </c>
      <c r="H320" s="3" t="s">
        <v>24</v>
      </c>
      <c r="I320" s="3" t="s">
        <v>53</v>
      </c>
      <c r="J320" s="3" t="str">
        <f>IFERROR(IF(AND(Table1[[#This Row],[Sales]]=0,Table1[[#This Row],[Quantity]]&lt;&gt;0),"Sales Missing",IF(AND(Table1[[#This Row],[Sales]]&lt;&gt;0,Table1[[#This Row],[Quantity]]=0),"Quantity Missing",IF(AND(Table1[[#This Row],[Sales]]=0,Table1[[#This Row],[Quantity]]=0),"Both Missing","Valid Response"))),"No Data")</f>
        <v>Valid Response</v>
      </c>
    </row>
    <row r="321" spans="2:10" x14ac:dyDescent="0.25">
      <c r="B321" s="17">
        <v>1316</v>
      </c>
      <c r="C321" s="4">
        <v>45733</v>
      </c>
      <c r="D321" s="3" t="s">
        <v>23</v>
      </c>
      <c r="E321" s="3" t="s">
        <v>27</v>
      </c>
      <c r="F321" s="11">
        <v>53000</v>
      </c>
      <c r="G321" s="14">
        <v>3</v>
      </c>
      <c r="H321" s="3" t="s">
        <v>11</v>
      </c>
      <c r="I321" s="3" t="s">
        <v>31</v>
      </c>
      <c r="J321" s="3" t="str">
        <f>IFERROR(IF(AND(Table1[[#This Row],[Sales]]=0,Table1[[#This Row],[Quantity]]&lt;&gt;0),"Sales Missing",IF(AND(Table1[[#This Row],[Sales]]&lt;&gt;0,Table1[[#This Row],[Quantity]]=0),"Quantity Missing",IF(AND(Table1[[#This Row],[Sales]]=0,Table1[[#This Row],[Quantity]]=0),"Both Missing","Valid Response"))),"No Data")</f>
        <v>Valid Response</v>
      </c>
    </row>
    <row r="322" spans="2:10" x14ac:dyDescent="0.25">
      <c r="B322" s="17">
        <v>1317</v>
      </c>
      <c r="C322" s="4">
        <v>45734</v>
      </c>
      <c r="D322" s="3" t="s">
        <v>23</v>
      </c>
      <c r="E322" s="3" t="s">
        <v>10</v>
      </c>
      <c r="F322" s="11">
        <v>48000</v>
      </c>
      <c r="G322" s="14">
        <v>1</v>
      </c>
      <c r="H322" s="3" t="s">
        <v>20</v>
      </c>
      <c r="I322" s="3" t="s">
        <v>53</v>
      </c>
      <c r="J322" s="3" t="str">
        <f>IFERROR(IF(AND(Table1[[#This Row],[Sales]]=0,Table1[[#This Row],[Quantity]]&lt;&gt;0),"Sales Missing",IF(AND(Table1[[#This Row],[Sales]]&lt;&gt;0,Table1[[#This Row],[Quantity]]=0),"Quantity Missing",IF(AND(Table1[[#This Row],[Sales]]=0,Table1[[#This Row],[Quantity]]=0),"Both Missing","Valid Response"))),"No Data")</f>
        <v>Valid Response</v>
      </c>
    </row>
    <row r="323" spans="2:10" x14ac:dyDescent="0.25">
      <c r="B323" s="17">
        <v>1318</v>
      </c>
      <c r="C323" s="4">
        <v>45735</v>
      </c>
      <c r="D323" s="3" t="s">
        <v>23</v>
      </c>
      <c r="E323" s="3" t="s">
        <v>19</v>
      </c>
      <c r="F323" s="11">
        <v>0</v>
      </c>
      <c r="G323" s="14">
        <v>2</v>
      </c>
      <c r="H323" s="3" t="s">
        <v>46</v>
      </c>
      <c r="I323" s="3" t="s">
        <v>53</v>
      </c>
      <c r="J323" s="3" t="str">
        <f>IFERROR(IF(AND(Table1[[#This Row],[Sales]]=0,Table1[[#This Row],[Quantity]]&lt;&gt;0),"Sales Missing",IF(AND(Table1[[#This Row],[Sales]]&lt;&gt;0,Table1[[#This Row],[Quantity]]=0),"Quantity Missing",IF(AND(Table1[[#This Row],[Sales]]=0,Table1[[#This Row],[Quantity]]=0),"Both Missing","Valid Response"))),"No Data")</f>
        <v>Sales Missing</v>
      </c>
    </row>
    <row r="324" spans="2:10" x14ac:dyDescent="0.25">
      <c r="B324" s="17">
        <v>1319</v>
      </c>
      <c r="C324" s="4">
        <v>45736</v>
      </c>
      <c r="D324" s="3" t="s">
        <v>33</v>
      </c>
      <c r="E324" s="3" t="s">
        <v>19</v>
      </c>
      <c r="F324" s="11">
        <v>0</v>
      </c>
      <c r="G324" s="14">
        <v>2</v>
      </c>
      <c r="H324" s="3" t="s">
        <v>46</v>
      </c>
      <c r="I324" s="3" t="s">
        <v>31</v>
      </c>
      <c r="J324" s="3" t="str">
        <f>IFERROR(IF(AND(Table1[[#This Row],[Sales]]=0,Table1[[#This Row],[Quantity]]&lt;&gt;0),"Sales Missing",IF(AND(Table1[[#This Row],[Sales]]&lt;&gt;0,Table1[[#This Row],[Quantity]]=0),"Quantity Missing",IF(AND(Table1[[#This Row],[Sales]]=0,Table1[[#This Row],[Quantity]]=0),"Both Missing","Valid Response"))),"No Data")</f>
        <v>Sales Missing</v>
      </c>
    </row>
    <row r="325" spans="2:10" x14ac:dyDescent="0.25">
      <c r="B325" s="17">
        <v>1320</v>
      </c>
      <c r="C325" s="4">
        <v>45737</v>
      </c>
      <c r="D325" s="3" t="s">
        <v>33</v>
      </c>
      <c r="E325" s="3" t="s">
        <v>27</v>
      </c>
      <c r="F325" s="11">
        <v>21000</v>
      </c>
      <c r="G325" s="14">
        <v>0</v>
      </c>
      <c r="H325" s="3" t="s">
        <v>46</v>
      </c>
      <c r="I325" s="3" t="s">
        <v>31</v>
      </c>
      <c r="J325" s="3" t="str">
        <f>IFERROR(IF(AND(Table1[[#This Row],[Sales]]=0,Table1[[#This Row],[Quantity]]&lt;&gt;0),"Sales Missing",IF(AND(Table1[[#This Row],[Sales]]&lt;&gt;0,Table1[[#This Row],[Quantity]]=0),"Quantity Missing",IF(AND(Table1[[#This Row],[Sales]]=0,Table1[[#This Row],[Quantity]]=0),"Both Missing","Valid Response"))),"No Data")</f>
        <v>Quantity Missing</v>
      </c>
    </row>
    <row r="326" spans="2:10" x14ac:dyDescent="0.25">
      <c r="B326" s="17">
        <v>1321</v>
      </c>
      <c r="C326" s="4">
        <v>45738</v>
      </c>
      <c r="D326" s="3" t="s">
        <v>45</v>
      </c>
      <c r="E326" s="3" t="s">
        <v>27</v>
      </c>
      <c r="F326" s="11">
        <v>48000</v>
      </c>
      <c r="G326" s="14">
        <v>2</v>
      </c>
      <c r="H326" s="3" t="s">
        <v>28</v>
      </c>
      <c r="I326" s="3" t="s">
        <v>29</v>
      </c>
      <c r="J326" s="3" t="str">
        <f>IFERROR(IF(AND(Table1[[#This Row],[Sales]]=0,Table1[[#This Row],[Quantity]]&lt;&gt;0),"Sales Missing",IF(AND(Table1[[#This Row],[Sales]]&lt;&gt;0,Table1[[#This Row],[Quantity]]=0),"Quantity Missing",IF(AND(Table1[[#This Row],[Sales]]=0,Table1[[#This Row],[Quantity]]=0),"Both Missing","Valid Response"))),"No Data")</f>
        <v>Valid Response</v>
      </c>
    </row>
    <row r="327" spans="2:10" x14ac:dyDescent="0.25">
      <c r="B327" s="17">
        <v>1322</v>
      </c>
      <c r="C327" s="4">
        <v>45739</v>
      </c>
      <c r="D327" s="3" t="s">
        <v>314</v>
      </c>
      <c r="E327" s="3" t="s">
        <v>27</v>
      </c>
      <c r="F327" s="11">
        <v>21000</v>
      </c>
      <c r="G327" s="14">
        <v>1</v>
      </c>
      <c r="H327" s="3" t="s">
        <v>38</v>
      </c>
      <c r="I327" s="3" t="s">
        <v>21</v>
      </c>
      <c r="J327" s="3" t="str">
        <f>IFERROR(IF(AND(Table1[[#This Row],[Sales]]=0,Table1[[#This Row],[Quantity]]&lt;&gt;0),"Sales Missing",IF(AND(Table1[[#This Row],[Sales]]&lt;&gt;0,Table1[[#This Row],[Quantity]]=0),"Quantity Missing",IF(AND(Table1[[#This Row],[Sales]]=0,Table1[[#This Row],[Quantity]]=0),"Both Missing","Valid Response"))),"No Data")</f>
        <v>Valid Response</v>
      </c>
    </row>
    <row r="328" spans="2:10" x14ac:dyDescent="0.25">
      <c r="B328" s="17">
        <v>1323</v>
      </c>
      <c r="C328" s="4">
        <v>45740</v>
      </c>
      <c r="D328" s="3" t="s">
        <v>33</v>
      </c>
      <c r="E328" s="3" t="s">
        <v>10</v>
      </c>
      <c r="F328" s="11">
        <v>53000</v>
      </c>
      <c r="G328" s="14">
        <v>0</v>
      </c>
      <c r="H328" s="3" t="s">
        <v>15</v>
      </c>
      <c r="I328" s="3" t="s">
        <v>29</v>
      </c>
      <c r="J328" s="3" t="str">
        <f>IFERROR(IF(AND(Table1[[#This Row],[Sales]]=0,Table1[[#This Row],[Quantity]]&lt;&gt;0),"Sales Missing",IF(AND(Table1[[#This Row],[Sales]]&lt;&gt;0,Table1[[#This Row],[Quantity]]=0),"Quantity Missing",IF(AND(Table1[[#This Row],[Sales]]=0,Table1[[#This Row],[Quantity]]=0),"Both Missing","Valid Response"))),"No Data")</f>
        <v>Quantity Missing</v>
      </c>
    </row>
    <row r="329" spans="2:10" x14ac:dyDescent="0.25">
      <c r="B329" s="17">
        <v>1324</v>
      </c>
      <c r="C329" s="4">
        <v>45741</v>
      </c>
      <c r="D329" s="3" t="s">
        <v>23</v>
      </c>
      <c r="E329" s="3" t="s">
        <v>19</v>
      </c>
      <c r="F329" s="11">
        <v>15000</v>
      </c>
      <c r="G329" s="14">
        <v>1</v>
      </c>
      <c r="H329" s="3" t="s">
        <v>11</v>
      </c>
      <c r="I329" s="3" t="s">
        <v>53</v>
      </c>
      <c r="J329" s="3" t="str">
        <f>IFERROR(IF(AND(Table1[[#This Row],[Sales]]=0,Table1[[#This Row],[Quantity]]&lt;&gt;0),"Sales Missing",IF(AND(Table1[[#This Row],[Sales]]&lt;&gt;0,Table1[[#This Row],[Quantity]]=0),"Quantity Missing",IF(AND(Table1[[#This Row],[Sales]]=0,Table1[[#This Row],[Quantity]]=0),"Both Missing","Valid Response"))),"No Data")</f>
        <v>Valid Response</v>
      </c>
    </row>
    <row r="330" spans="2:10" x14ac:dyDescent="0.25">
      <c r="B330" s="17">
        <v>1325</v>
      </c>
      <c r="C330" s="4">
        <v>45742</v>
      </c>
      <c r="D330" s="3" t="s">
        <v>23</v>
      </c>
      <c r="E330" s="3" t="s">
        <v>27</v>
      </c>
      <c r="F330" s="11">
        <v>55000</v>
      </c>
      <c r="G330" s="14">
        <v>2</v>
      </c>
      <c r="H330" s="3" t="s">
        <v>38</v>
      </c>
      <c r="I330" s="3" t="s">
        <v>29</v>
      </c>
      <c r="J330" s="3" t="str">
        <f>IFERROR(IF(AND(Table1[[#This Row],[Sales]]=0,Table1[[#This Row],[Quantity]]&lt;&gt;0),"Sales Missing",IF(AND(Table1[[#This Row],[Sales]]&lt;&gt;0,Table1[[#This Row],[Quantity]]=0),"Quantity Missing",IF(AND(Table1[[#This Row],[Sales]]=0,Table1[[#This Row],[Quantity]]=0),"Both Missing","Valid Response"))),"No Data")</f>
        <v>Valid Response</v>
      </c>
    </row>
    <row r="331" spans="2:10" x14ac:dyDescent="0.25">
      <c r="B331" s="17">
        <v>1326</v>
      </c>
      <c r="C331" s="4">
        <v>45743</v>
      </c>
      <c r="D331" s="3" t="s">
        <v>23</v>
      </c>
      <c r="E331" s="3" t="s">
        <v>19</v>
      </c>
      <c r="F331" s="11">
        <v>20000</v>
      </c>
      <c r="G331" s="14">
        <v>0</v>
      </c>
      <c r="H331" s="3" t="s">
        <v>15</v>
      </c>
      <c r="I331" s="3" t="s">
        <v>29</v>
      </c>
      <c r="J331" s="3" t="str">
        <f>IFERROR(IF(AND(Table1[[#This Row],[Sales]]=0,Table1[[#This Row],[Quantity]]&lt;&gt;0),"Sales Missing",IF(AND(Table1[[#This Row],[Sales]]&lt;&gt;0,Table1[[#This Row],[Quantity]]=0),"Quantity Missing",IF(AND(Table1[[#This Row],[Sales]]=0,Table1[[#This Row],[Quantity]]=0),"Both Missing","Valid Response"))),"No Data")</f>
        <v>Quantity Missing</v>
      </c>
    </row>
    <row r="332" spans="2:10" x14ac:dyDescent="0.25">
      <c r="B332" s="17">
        <v>1327</v>
      </c>
      <c r="C332" s="4">
        <v>45744</v>
      </c>
      <c r="D332" s="3" t="s">
        <v>314</v>
      </c>
      <c r="E332" s="3" t="s">
        <v>27</v>
      </c>
      <c r="F332" s="11">
        <v>53000</v>
      </c>
      <c r="G332" s="14">
        <v>3</v>
      </c>
      <c r="H332" s="3" t="s">
        <v>38</v>
      </c>
      <c r="I332" s="3" t="s">
        <v>53</v>
      </c>
      <c r="J332" s="3" t="str">
        <f>IFERROR(IF(AND(Table1[[#This Row],[Sales]]=0,Table1[[#This Row],[Quantity]]&lt;&gt;0),"Sales Missing",IF(AND(Table1[[#This Row],[Sales]]&lt;&gt;0,Table1[[#This Row],[Quantity]]=0),"Quantity Missing",IF(AND(Table1[[#This Row],[Sales]]=0,Table1[[#This Row],[Quantity]]=0),"Both Missing","Valid Response"))),"No Data")</f>
        <v>Valid Response</v>
      </c>
    </row>
    <row r="333" spans="2:10" x14ac:dyDescent="0.25">
      <c r="B333" s="17">
        <v>1328</v>
      </c>
      <c r="C333" s="4">
        <v>45745</v>
      </c>
      <c r="D333" s="3" t="s">
        <v>23</v>
      </c>
      <c r="E333" s="3" t="s">
        <v>19</v>
      </c>
      <c r="F333" s="11">
        <v>48000</v>
      </c>
      <c r="G333" s="14">
        <v>2</v>
      </c>
      <c r="H333" s="3" t="s">
        <v>15</v>
      </c>
      <c r="I333" s="3" t="s">
        <v>29</v>
      </c>
      <c r="J333" s="3" t="str">
        <f>IFERROR(IF(AND(Table1[[#This Row],[Sales]]=0,Table1[[#This Row],[Quantity]]&lt;&gt;0),"Sales Missing",IF(AND(Table1[[#This Row],[Sales]]&lt;&gt;0,Table1[[#This Row],[Quantity]]=0),"Quantity Missing",IF(AND(Table1[[#This Row],[Sales]]=0,Table1[[#This Row],[Quantity]]=0),"Both Missing","Valid Response"))),"No Data")</f>
        <v>Valid Response</v>
      </c>
    </row>
    <row r="334" spans="2:10" x14ac:dyDescent="0.25">
      <c r="B334" s="17">
        <v>1329</v>
      </c>
      <c r="C334" s="4">
        <v>45746</v>
      </c>
      <c r="D334" s="3" t="s">
        <v>23</v>
      </c>
      <c r="E334" s="3" t="s">
        <v>10</v>
      </c>
      <c r="F334" s="11">
        <v>15000</v>
      </c>
      <c r="G334" s="14">
        <v>0</v>
      </c>
      <c r="H334" s="3" t="s">
        <v>28</v>
      </c>
      <c r="I334" s="3" t="s">
        <v>53</v>
      </c>
      <c r="J334" s="3" t="str">
        <f>IFERROR(IF(AND(Table1[[#This Row],[Sales]]=0,Table1[[#This Row],[Quantity]]&lt;&gt;0),"Sales Missing",IF(AND(Table1[[#This Row],[Sales]]&lt;&gt;0,Table1[[#This Row],[Quantity]]=0),"Quantity Missing",IF(AND(Table1[[#This Row],[Sales]]=0,Table1[[#This Row],[Quantity]]=0),"Both Missing","Valid Response"))),"No Data")</f>
        <v>Quantity Missing</v>
      </c>
    </row>
    <row r="335" spans="2:10" x14ac:dyDescent="0.25">
      <c r="B335" s="17">
        <v>1330</v>
      </c>
      <c r="C335" s="4">
        <v>45747</v>
      </c>
      <c r="D335" s="3" t="s">
        <v>45</v>
      </c>
      <c r="E335" s="3" t="s">
        <v>19</v>
      </c>
      <c r="F335" s="11">
        <v>53000</v>
      </c>
      <c r="G335" s="14">
        <v>0</v>
      </c>
      <c r="H335" s="3" t="s">
        <v>24</v>
      </c>
      <c r="I335" s="3" t="s">
        <v>53</v>
      </c>
      <c r="J335" s="3" t="str">
        <f>IFERROR(IF(AND(Table1[[#This Row],[Sales]]=0,Table1[[#This Row],[Quantity]]&lt;&gt;0),"Sales Missing",IF(AND(Table1[[#This Row],[Sales]]&lt;&gt;0,Table1[[#This Row],[Quantity]]=0),"Quantity Missing",IF(AND(Table1[[#This Row],[Sales]]=0,Table1[[#This Row],[Quantity]]=0),"Both Missing","Valid Response"))),"No Data")</f>
        <v>Quantity Missing</v>
      </c>
    </row>
    <row r="336" spans="2:10" x14ac:dyDescent="0.25">
      <c r="B336" s="17">
        <v>1331</v>
      </c>
      <c r="C336" s="4">
        <v>45748</v>
      </c>
      <c r="D336" s="3" t="s">
        <v>314</v>
      </c>
      <c r="E336" s="3" t="s">
        <v>19</v>
      </c>
      <c r="F336" s="11">
        <v>0</v>
      </c>
      <c r="G336" s="14">
        <v>2</v>
      </c>
      <c r="H336" s="3" t="s">
        <v>20</v>
      </c>
      <c r="I336" s="3" t="s">
        <v>21</v>
      </c>
      <c r="J336" s="3" t="str">
        <f>IFERROR(IF(AND(Table1[[#This Row],[Sales]]=0,Table1[[#This Row],[Quantity]]&lt;&gt;0),"Sales Missing",IF(AND(Table1[[#This Row],[Sales]]&lt;&gt;0,Table1[[#This Row],[Quantity]]=0),"Quantity Missing",IF(AND(Table1[[#This Row],[Sales]]=0,Table1[[#This Row],[Quantity]]=0),"Both Missing","Valid Response"))),"No Data")</f>
        <v>Sales Missing</v>
      </c>
    </row>
    <row r="337" spans="2:10" x14ac:dyDescent="0.25">
      <c r="B337" s="17">
        <v>1332</v>
      </c>
      <c r="C337" s="4">
        <v>45749</v>
      </c>
      <c r="D337" s="3" t="s">
        <v>315</v>
      </c>
      <c r="E337" s="3" t="s">
        <v>19</v>
      </c>
      <c r="F337" s="11">
        <v>55000</v>
      </c>
      <c r="G337" s="14">
        <v>2</v>
      </c>
      <c r="H337" s="3" t="s">
        <v>28</v>
      </c>
      <c r="I337" s="3" t="s">
        <v>31</v>
      </c>
      <c r="J337" s="3" t="str">
        <f>IFERROR(IF(AND(Table1[[#This Row],[Sales]]=0,Table1[[#This Row],[Quantity]]&lt;&gt;0),"Sales Missing",IF(AND(Table1[[#This Row],[Sales]]&lt;&gt;0,Table1[[#This Row],[Quantity]]=0),"Quantity Missing",IF(AND(Table1[[#This Row],[Sales]]=0,Table1[[#This Row],[Quantity]]=0),"Both Missing","Valid Response"))),"No Data")</f>
        <v>Valid Response</v>
      </c>
    </row>
    <row r="338" spans="2:10" x14ac:dyDescent="0.25">
      <c r="B338" s="17">
        <v>1333</v>
      </c>
      <c r="C338" s="4">
        <v>45750</v>
      </c>
      <c r="D338" s="3" t="s">
        <v>315</v>
      </c>
      <c r="E338" s="3" t="s">
        <v>10</v>
      </c>
      <c r="F338" s="11">
        <v>15000</v>
      </c>
      <c r="G338" s="14">
        <v>0</v>
      </c>
      <c r="H338" s="3" t="s">
        <v>34</v>
      </c>
      <c r="I338" s="3" t="s">
        <v>21</v>
      </c>
      <c r="J338" s="3" t="str">
        <f>IFERROR(IF(AND(Table1[[#This Row],[Sales]]=0,Table1[[#This Row],[Quantity]]&lt;&gt;0),"Sales Missing",IF(AND(Table1[[#This Row],[Sales]]&lt;&gt;0,Table1[[#This Row],[Quantity]]=0),"Quantity Missing",IF(AND(Table1[[#This Row],[Sales]]=0,Table1[[#This Row],[Quantity]]=0),"Both Missing","Valid Response"))),"No Data")</f>
        <v>Quantity Missing</v>
      </c>
    </row>
    <row r="339" spans="2:10" x14ac:dyDescent="0.25">
      <c r="B339" s="17">
        <v>1334</v>
      </c>
      <c r="C339" s="4">
        <v>45751</v>
      </c>
      <c r="D339" s="3" t="s">
        <v>315</v>
      </c>
      <c r="E339" s="3" t="s">
        <v>27</v>
      </c>
      <c r="F339" s="11">
        <v>48000</v>
      </c>
      <c r="G339" s="14">
        <v>3</v>
      </c>
      <c r="H339" s="3" t="s">
        <v>20</v>
      </c>
      <c r="I339" s="3" t="s">
        <v>29</v>
      </c>
      <c r="J339" s="3" t="str">
        <f>IFERROR(IF(AND(Table1[[#This Row],[Sales]]=0,Table1[[#This Row],[Quantity]]&lt;&gt;0),"Sales Missing",IF(AND(Table1[[#This Row],[Sales]]&lt;&gt;0,Table1[[#This Row],[Quantity]]=0),"Quantity Missing",IF(AND(Table1[[#This Row],[Sales]]=0,Table1[[#This Row],[Quantity]]=0),"Both Missing","Valid Response"))),"No Data")</f>
        <v>Valid Response</v>
      </c>
    </row>
    <row r="340" spans="2:10" x14ac:dyDescent="0.25">
      <c r="B340" s="17">
        <v>1335</v>
      </c>
      <c r="C340" s="4">
        <v>45752</v>
      </c>
      <c r="D340" s="3" t="s">
        <v>23</v>
      </c>
      <c r="E340" s="3" t="s">
        <v>19</v>
      </c>
      <c r="F340" s="11">
        <v>53000</v>
      </c>
      <c r="G340" s="14">
        <v>3</v>
      </c>
      <c r="H340" s="3" t="s">
        <v>38</v>
      </c>
      <c r="I340" s="3" t="s">
        <v>21</v>
      </c>
      <c r="J340" s="3" t="str">
        <f>IFERROR(IF(AND(Table1[[#This Row],[Sales]]=0,Table1[[#This Row],[Quantity]]&lt;&gt;0),"Sales Missing",IF(AND(Table1[[#This Row],[Sales]]&lt;&gt;0,Table1[[#This Row],[Quantity]]=0),"Quantity Missing",IF(AND(Table1[[#This Row],[Sales]]=0,Table1[[#This Row],[Quantity]]=0),"Both Missing","Valid Response"))),"No Data")</f>
        <v>Valid Response</v>
      </c>
    </row>
    <row r="341" spans="2:10" x14ac:dyDescent="0.25">
      <c r="B341" s="17">
        <v>1336</v>
      </c>
      <c r="C341" s="4">
        <v>45753</v>
      </c>
      <c r="D341" s="3" t="s">
        <v>33</v>
      </c>
      <c r="E341" s="3" t="s">
        <v>10</v>
      </c>
      <c r="F341" s="11">
        <v>15000</v>
      </c>
      <c r="G341" s="14">
        <v>2</v>
      </c>
      <c r="H341" s="3" t="s">
        <v>34</v>
      </c>
      <c r="I341" s="3" t="s">
        <v>21</v>
      </c>
      <c r="J341" s="3" t="str">
        <f>IFERROR(IF(AND(Table1[[#This Row],[Sales]]=0,Table1[[#This Row],[Quantity]]&lt;&gt;0),"Sales Missing",IF(AND(Table1[[#This Row],[Sales]]&lt;&gt;0,Table1[[#This Row],[Quantity]]=0),"Quantity Missing",IF(AND(Table1[[#This Row],[Sales]]=0,Table1[[#This Row],[Quantity]]=0),"Both Missing","Valid Response"))),"No Data")</f>
        <v>Valid Response</v>
      </c>
    </row>
    <row r="342" spans="2:10" x14ac:dyDescent="0.25">
      <c r="B342" s="17">
        <v>1337</v>
      </c>
      <c r="C342" s="4">
        <v>45754</v>
      </c>
      <c r="D342" s="3" t="s">
        <v>315</v>
      </c>
      <c r="E342" s="3" t="s">
        <v>27</v>
      </c>
      <c r="F342" s="11">
        <v>15000</v>
      </c>
      <c r="G342" s="14">
        <v>0</v>
      </c>
      <c r="H342" s="3" t="s">
        <v>38</v>
      </c>
      <c r="I342" s="3" t="s">
        <v>53</v>
      </c>
      <c r="J342" s="3" t="str">
        <f>IFERROR(IF(AND(Table1[[#This Row],[Sales]]=0,Table1[[#This Row],[Quantity]]&lt;&gt;0),"Sales Missing",IF(AND(Table1[[#This Row],[Sales]]&lt;&gt;0,Table1[[#This Row],[Quantity]]=0),"Quantity Missing",IF(AND(Table1[[#This Row],[Sales]]=0,Table1[[#This Row],[Quantity]]=0),"Both Missing","Valid Response"))),"No Data")</f>
        <v>Quantity Missing</v>
      </c>
    </row>
    <row r="343" spans="2:10" x14ac:dyDescent="0.25">
      <c r="B343" s="17">
        <v>1338</v>
      </c>
      <c r="C343" s="4">
        <v>45755</v>
      </c>
      <c r="D343" s="3" t="s">
        <v>314</v>
      </c>
      <c r="E343" s="3" t="s">
        <v>19</v>
      </c>
      <c r="F343" s="11">
        <v>55000</v>
      </c>
      <c r="G343" s="14">
        <v>1</v>
      </c>
      <c r="H343" s="3" t="s">
        <v>20</v>
      </c>
      <c r="I343" s="3" t="s">
        <v>53</v>
      </c>
      <c r="J343" s="3" t="str">
        <f>IFERROR(IF(AND(Table1[[#This Row],[Sales]]=0,Table1[[#This Row],[Quantity]]&lt;&gt;0),"Sales Missing",IF(AND(Table1[[#This Row],[Sales]]&lt;&gt;0,Table1[[#This Row],[Quantity]]=0),"Quantity Missing",IF(AND(Table1[[#This Row],[Sales]]=0,Table1[[#This Row],[Quantity]]=0),"Both Missing","Valid Response"))),"No Data")</f>
        <v>Valid Response</v>
      </c>
    </row>
    <row r="344" spans="2:10" x14ac:dyDescent="0.25">
      <c r="B344" s="17">
        <v>1339</v>
      </c>
      <c r="C344" s="4">
        <v>45756</v>
      </c>
      <c r="D344" s="3" t="s">
        <v>23</v>
      </c>
      <c r="E344" s="3" t="s">
        <v>19</v>
      </c>
      <c r="F344" s="11">
        <v>52000</v>
      </c>
      <c r="G344" s="14">
        <v>0</v>
      </c>
      <c r="H344" s="3" t="s">
        <v>34</v>
      </c>
      <c r="I344" s="3" t="s">
        <v>53</v>
      </c>
      <c r="J344" s="3" t="str">
        <f>IFERROR(IF(AND(Table1[[#This Row],[Sales]]=0,Table1[[#This Row],[Quantity]]&lt;&gt;0),"Sales Missing",IF(AND(Table1[[#This Row],[Sales]]&lt;&gt;0,Table1[[#This Row],[Quantity]]=0),"Quantity Missing",IF(AND(Table1[[#This Row],[Sales]]=0,Table1[[#This Row],[Quantity]]=0),"Both Missing","Valid Response"))),"No Data")</f>
        <v>Quantity Missing</v>
      </c>
    </row>
    <row r="345" spans="2:10" x14ac:dyDescent="0.25">
      <c r="B345" s="17">
        <v>1340</v>
      </c>
      <c r="C345" s="4">
        <v>45757</v>
      </c>
      <c r="D345" s="3" t="s">
        <v>33</v>
      </c>
      <c r="E345" s="3" t="s">
        <v>19</v>
      </c>
      <c r="F345" s="11">
        <v>20000</v>
      </c>
      <c r="G345" s="14">
        <v>1</v>
      </c>
      <c r="H345" s="3" t="s">
        <v>20</v>
      </c>
      <c r="I345" s="3" t="s">
        <v>21</v>
      </c>
      <c r="J345" s="3" t="str">
        <f>IFERROR(IF(AND(Table1[[#This Row],[Sales]]=0,Table1[[#This Row],[Quantity]]&lt;&gt;0),"Sales Missing",IF(AND(Table1[[#This Row],[Sales]]&lt;&gt;0,Table1[[#This Row],[Quantity]]=0),"Quantity Missing",IF(AND(Table1[[#This Row],[Sales]]=0,Table1[[#This Row],[Quantity]]=0),"Both Missing","Valid Response"))),"No Data")</f>
        <v>Valid Response</v>
      </c>
    </row>
    <row r="346" spans="2:10" x14ac:dyDescent="0.25">
      <c r="B346" s="17">
        <v>1341</v>
      </c>
      <c r="C346" s="4">
        <v>45758</v>
      </c>
      <c r="D346" s="3" t="s">
        <v>23</v>
      </c>
      <c r="E346" s="3" t="s">
        <v>27</v>
      </c>
      <c r="F346" s="11">
        <v>15000</v>
      </c>
      <c r="G346" s="14">
        <v>3</v>
      </c>
      <c r="H346" s="3" t="s">
        <v>11</v>
      </c>
      <c r="I346" s="3" t="s">
        <v>21</v>
      </c>
      <c r="J346" s="3" t="str">
        <f>IFERROR(IF(AND(Table1[[#This Row],[Sales]]=0,Table1[[#This Row],[Quantity]]&lt;&gt;0),"Sales Missing",IF(AND(Table1[[#This Row],[Sales]]&lt;&gt;0,Table1[[#This Row],[Quantity]]=0),"Quantity Missing",IF(AND(Table1[[#This Row],[Sales]]=0,Table1[[#This Row],[Quantity]]=0),"Both Missing","Valid Response"))),"No Data")</f>
        <v>Valid Response</v>
      </c>
    </row>
    <row r="347" spans="2:10" x14ac:dyDescent="0.25">
      <c r="B347" s="17">
        <v>1342</v>
      </c>
      <c r="C347" s="4">
        <v>45759</v>
      </c>
      <c r="D347" s="3" t="s">
        <v>23</v>
      </c>
      <c r="E347" s="3" t="s">
        <v>27</v>
      </c>
      <c r="F347" s="11">
        <v>55000</v>
      </c>
      <c r="G347" s="14">
        <v>0</v>
      </c>
      <c r="H347" s="3" t="s">
        <v>34</v>
      </c>
      <c r="I347" s="3" t="s">
        <v>53</v>
      </c>
      <c r="J347" s="3" t="str">
        <f>IFERROR(IF(AND(Table1[[#This Row],[Sales]]=0,Table1[[#This Row],[Quantity]]&lt;&gt;0),"Sales Missing",IF(AND(Table1[[#This Row],[Sales]]&lt;&gt;0,Table1[[#This Row],[Quantity]]=0),"Quantity Missing",IF(AND(Table1[[#This Row],[Sales]]=0,Table1[[#This Row],[Quantity]]=0),"Both Missing","Valid Response"))),"No Data")</f>
        <v>Quantity Missing</v>
      </c>
    </row>
    <row r="348" spans="2:10" x14ac:dyDescent="0.25">
      <c r="B348" s="17">
        <v>1343</v>
      </c>
      <c r="C348" s="4">
        <v>45760</v>
      </c>
      <c r="D348" s="3" t="s">
        <v>33</v>
      </c>
      <c r="E348" s="3" t="s">
        <v>27</v>
      </c>
      <c r="F348" s="11">
        <v>52000</v>
      </c>
      <c r="G348" s="14">
        <v>2</v>
      </c>
      <c r="H348" s="3" t="s">
        <v>46</v>
      </c>
      <c r="I348" s="3" t="s">
        <v>53</v>
      </c>
      <c r="J348" s="3" t="str">
        <f>IFERROR(IF(AND(Table1[[#This Row],[Sales]]=0,Table1[[#This Row],[Quantity]]&lt;&gt;0),"Sales Missing",IF(AND(Table1[[#This Row],[Sales]]&lt;&gt;0,Table1[[#This Row],[Quantity]]=0),"Quantity Missing",IF(AND(Table1[[#This Row],[Sales]]=0,Table1[[#This Row],[Quantity]]=0),"Both Missing","Valid Response"))),"No Data")</f>
        <v>Valid Response</v>
      </c>
    </row>
    <row r="349" spans="2:10" x14ac:dyDescent="0.25">
      <c r="B349" s="17">
        <v>1344</v>
      </c>
      <c r="C349" s="4">
        <v>45761</v>
      </c>
      <c r="D349" s="3" t="s">
        <v>315</v>
      </c>
      <c r="E349" s="3" t="s">
        <v>19</v>
      </c>
      <c r="F349" s="11">
        <v>55000</v>
      </c>
      <c r="G349" s="14">
        <v>3</v>
      </c>
      <c r="H349" s="3" t="s">
        <v>20</v>
      </c>
      <c r="I349" s="3" t="s">
        <v>53</v>
      </c>
      <c r="J349" s="3" t="str">
        <f>IFERROR(IF(AND(Table1[[#This Row],[Sales]]=0,Table1[[#This Row],[Quantity]]&lt;&gt;0),"Sales Missing",IF(AND(Table1[[#This Row],[Sales]]&lt;&gt;0,Table1[[#This Row],[Quantity]]=0),"Quantity Missing",IF(AND(Table1[[#This Row],[Sales]]=0,Table1[[#This Row],[Quantity]]=0),"Both Missing","Valid Response"))),"No Data")</f>
        <v>Valid Response</v>
      </c>
    </row>
    <row r="350" spans="2:10" x14ac:dyDescent="0.25">
      <c r="B350" s="17">
        <v>1345</v>
      </c>
      <c r="C350" s="4">
        <v>45762</v>
      </c>
      <c r="D350" s="3" t="s">
        <v>45</v>
      </c>
      <c r="E350" s="3" t="s">
        <v>19</v>
      </c>
      <c r="F350" s="11">
        <v>15000</v>
      </c>
      <c r="G350" s="14">
        <v>0</v>
      </c>
      <c r="H350" s="3" t="s">
        <v>15</v>
      </c>
      <c r="I350" s="3" t="s">
        <v>21</v>
      </c>
      <c r="J350" s="3" t="str">
        <f>IFERROR(IF(AND(Table1[[#This Row],[Sales]]=0,Table1[[#This Row],[Quantity]]&lt;&gt;0),"Sales Missing",IF(AND(Table1[[#This Row],[Sales]]&lt;&gt;0,Table1[[#This Row],[Quantity]]=0),"Quantity Missing",IF(AND(Table1[[#This Row],[Sales]]=0,Table1[[#This Row],[Quantity]]=0),"Both Missing","Valid Response"))),"No Data")</f>
        <v>Quantity Missing</v>
      </c>
    </row>
    <row r="351" spans="2:10" x14ac:dyDescent="0.25">
      <c r="B351" s="17">
        <v>1346</v>
      </c>
      <c r="C351" s="4">
        <v>45763</v>
      </c>
      <c r="D351" s="3" t="s">
        <v>45</v>
      </c>
      <c r="E351" s="3" t="s">
        <v>27</v>
      </c>
      <c r="F351" s="11">
        <v>20000</v>
      </c>
      <c r="G351" s="14">
        <v>1</v>
      </c>
      <c r="H351" s="3" t="s">
        <v>11</v>
      </c>
      <c r="I351" s="3" t="s">
        <v>29</v>
      </c>
      <c r="J351" s="3" t="str">
        <f>IFERROR(IF(AND(Table1[[#This Row],[Sales]]=0,Table1[[#This Row],[Quantity]]&lt;&gt;0),"Sales Missing",IF(AND(Table1[[#This Row],[Sales]]&lt;&gt;0,Table1[[#This Row],[Quantity]]=0),"Quantity Missing",IF(AND(Table1[[#This Row],[Sales]]=0,Table1[[#This Row],[Quantity]]=0),"Both Missing","Valid Response"))),"No Data")</f>
        <v>Valid Response</v>
      </c>
    </row>
    <row r="352" spans="2:10" x14ac:dyDescent="0.25">
      <c r="B352" s="17">
        <v>1347</v>
      </c>
      <c r="C352" s="4">
        <v>45764</v>
      </c>
      <c r="D352" s="3" t="s">
        <v>23</v>
      </c>
      <c r="E352" s="3" t="s">
        <v>19</v>
      </c>
      <c r="F352" s="11">
        <v>20000</v>
      </c>
      <c r="G352" s="14">
        <v>2</v>
      </c>
      <c r="H352" s="3" t="s">
        <v>11</v>
      </c>
      <c r="I352" s="3" t="s">
        <v>21</v>
      </c>
      <c r="J352" s="3" t="str">
        <f>IFERROR(IF(AND(Table1[[#This Row],[Sales]]=0,Table1[[#This Row],[Quantity]]&lt;&gt;0),"Sales Missing",IF(AND(Table1[[#This Row],[Sales]]&lt;&gt;0,Table1[[#This Row],[Quantity]]=0),"Quantity Missing",IF(AND(Table1[[#This Row],[Sales]]=0,Table1[[#This Row],[Quantity]]=0),"Both Missing","Valid Response"))),"No Data")</f>
        <v>Valid Response</v>
      </c>
    </row>
    <row r="353" spans="2:10" x14ac:dyDescent="0.25">
      <c r="B353" s="17">
        <v>1348</v>
      </c>
      <c r="C353" s="4">
        <v>45765</v>
      </c>
      <c r="D353" s="3" t="s">
        <v>33</v>
      </c>
      <c r="E353" s="3" t="s">
        <v>27</v>
      </c>
      <c r="F353" s="11">
        <v>21000</v>
      </c>
      <c r="G353" s="14">
        <v>0</v>
      </c>
      <c r="H353" s="3" t="s">
        <v>11</v>
      </c>
      <c r="I353" s="3" t="s">
        <v>21</v>
      </c>
      <c r="J353" s="3" t="str">
        <f>IFERROR(IF(AND(Table1[[#This Row],[Sales]]=0,Table1[[#This Row],[Quantity]]&lt;&gt;0),"Sales Missing",IF(AND(Table1[[#This Row],[Sales]]&lt;&gt;0,Table1[[#This Row],[Quantity]]=0),"Quantity Missing",IF(AND(Table1[[#This Row],[Sales]]=0,Table1[[#This Row],[Quantity]]=0),"Both Missing","Valid Response"))),"No Data")</f>
        <v>Quantity Missing</v>
      </c>
    </row>
    <row r="354" spans="2:10" x14ac:dyDescent="0.25">
      <c r="B354" s="17">
        <v>1349</v>
      </c>
      <c r="C354" s="4">
        <v>45766</v>
      </c>
      <c r="D354" s="3" t="s">
        <v>314</v>
      </c>
      <c r="E354" s="3" t="s">
        <v>10</v>
      </c>
      <c r="F354" s="11">
        <v>20000</v>
      </c>
      <c r="G354" s="14">
        <v>1</v>
      </c>
      <c r="H354" s="3" t="s">
        <v>15</v>
      </c>
      <c r="I354" s="3" t="s">
        <v>31</v>
      </c>
      <c r="J354" s="3" t="str">
        <f>IFERROR(IF(AND(Table1[[#This Row],[Sales]]=0,Table1[[#This Row],[Quantity]]&lt;&gt;0),"Sales Missing",IF(AND(Table1[[#This Row],[Sales]]&lt;&gt;0,Table1[[#This Row],[Quantity]]=0),"Quantity Missing",IF(AND(Table1[[#This Row],[Sales]]=0,Table1[[#This Row],[Quantity]]=0),"Both Missing","Valid Response"))),"No Data")</f>
        <v>Valid Response</v>
      </c>
    </row>
    <row r="355" spans="2:10" x14ac:dyDescent="0.25">
      <c r="B355" s="17">
        <v>1350</v>
      </c>
      <c r="C355" s="4">
        <v>45767</v>
      </c>
      <c r="D355" s="3" t="s">
        <v>33</v>
      </c>
      <c r="E355" s="3" t="s">
        <v>19</v>
      </c>
      <c r="F355" s="11">
        <v>21000</v>
      </c>
      <c r="G355" s="14">
        <v>1</v>
      </c>
      <c r="H355" s="3" t="s">
        <v>15</v>
      </c>
      <c r="I355" s="3" t="s">
        <v>53</v>
      </c>
      <c r="J355" s="3" t="str">
        <f>IFERROR(IF(AND(Table1[[#This Row],[Sales]]=0,Table1[[#This Row],[Quantity]]&lt;&gt;0),"Sales Missing",IF(AND(Table1[[#This Row],[Sales]]&lt;&gt;0,Table1[[#This Row],[Quantity]]=0),"Quantity Missing",IF(AND(Table1[[#This Row],[Sales]]=0,Table1[[#This Row],[Quantity]]=0),"Both Missing","Valid Response"))),"No Data")</f>
        <v>Valid Response</v>
      </c>
    </row>
    <row r="356" spans="2:10" x14ac:dyDescent="0.25">
      <c r="B356" s="17">
        <v>1351</v>
      </c>
      <c r="C356" s="4">
        <v>45768</v>
      </c>
      <c r="D356" s="3" t="s">
        <v>33</v>
      </c>
      <c r="E356" s="3" t="s">
        <v>27</v>
      </c>
      <c r="F356" s="11">
        <v>20000</v>
      </c>
      <c r="G356" s="14">
        <v>2</v>
      </c>
      <c r="H356" s="3" t="s">
        <v>11</v>
      </c>
      <c r="I356" s="3" t="s">
        <v>21</v>
      </c>
      <c r="J356" s="3" t="str">
        <f>IFERROR(IF(AND(Table1[[#This Row],[Sales]]=0,Table1[[#This Row],[Quantity]]&lt;&gt;0),"Sales Missing",IF(AND(Table1[[#This Row],[Sales]]&lt;&gt;0,Table1[[#This Row],[Quantity]]=0),"Quantity Missing",IF(AND(Table1[[#This Row],[Sales]]=0,Table1[[#This Row],[Quantity]]=0),"Both Missing","Valid Response"))),"No Data")</f>
        <v>Valid Response</v>
      </c>
    </row>
    <row r="357" spans="2:10" x14ac:dyDescent="0.25">
      <c r="B357" s="17">
        <v>1352</v>
      </c>
      <c r="C357" s="4">
        <v>45769</v>
      </c>
      <c r="D357" s="3" t="s">
        <v>315</v>
      </c>
      <c r="E357" s="3" t="s">
        <v>19</v>
      </c>
      <c r="F357" s="11">
        <v>15000</v>
      </c>
      <c r="G357" s="14">
        <v>3</v>
      </c>
      <c r="H357" s="3" t="s">
        <v>15</v>
      </c>
      <c r="I357" s="3" t="s">
        <v>53</v>
      </c>
      <c r="J357" s="3" t="str">
        <f>IFERROR(IF(AND(Table1[[#This Row],[Sales]]=0,Table1[[#This Row],[Quantity]]&lt;&gt;0),"Sales Missing",IF(AND(Table1[[#This Row],[Sales]]&lt;&gt;0,Table1[[#This Row],[Quantity]]=0),"Quantity Missing",IF(AND(Table1[[#This Row],[Sales]]=0,Table1[[#This Row],[Quantity]]=0),"Both Missing","Valid Response"))),"No Data")</f>
        <v>Valid Response</v>
      </c>
    </row>
    <row r="358" spans="2:10" x14ac:dyDescent="0.25">
      <c r="B358" s="17">
        <v>1353</v>
      </c>
      <c r="C358" s="4">
        <v>45770</v>
      </c>
      <c r="D358" s="3" t="s">
        <v>315</v>
      </c>
      <c r="E358" s="3" t="s">
        <v>27</v>
      </c>
      <c r="F358" s="11">
        <v>55000</v>
      </c>
      <c r="G358" s="14">
        <v>0</v>
      </c>
      <c r="H358" s="3" t="s">
        <v>46</v>
      </c>
      <c r="I358" s="3" t="s">
        <v>21</v>
      </c>
      <c r="J358" s="3" t="str">
        <f>IFERROR(IF(AND(Table1[[#This Row],[Sales]]=0,Table1[[#This Row],[Quantity]]&lt;&gt;0),"Sales Missing",IF(AND(Table1[[#This Row],[Sales]]&lt;&gt;0,Table1[[#This Row],[Quantity]]=0),"Quantity Missing",IF(AND(Table1[[#This Row],[Sales]]=0,Table1[[#This Row],[Quantity]]=0),"Both Missing","Valid Response"))),"No Data")</f>
        <v>Quantity Missing</v>
      </c>
    </row>
    <row r="359" spans="2:10" x14ac:dyDescent="0.25">
      <c r="B359" s="17">
        <v>1354</v>
      </c>
      <c r="C359" s="4">
        <v>45771</v>
      </c>
      <c r="D359" s="3" t="s">
        <v>33</v>
      </c>
      <c r="E359" s="3" t="s">
        <v>27</v>
      </c>
      <c r="F359" s="11">
        <v>21000</v>
      </c>
      <c r="G359" s="14">
        <v>1</v>
      </c>
      <c r="H359" s="3" t="s">
        <v>38</v>
      </c>
      <c r="I359" s="3" t="s">
        <v>53</v>
      </c>
      <c r="J359" s="3" t="str">
        <f>IFERROR(IF(AND(Table1[[#This Row],[Sales]]=0,Table1[[#This Row],[Quantity]]&lt;&gt;0),"Sales Missing",IF(AND(Table1[[#This Row],[Sales]]&lt;&gt;0,Table1[[#This Row],[Quantity]]=0),"Quantity Missing",IF(AND(Table1[[#This Row],[Sales]]=0,Table1[[#This Row],[Quantity]]=0),"Both Missing","Valid Response"))),"No Data")</f>
        <v>Valid Response</v>
      </c>
    </row>
    <row r="360" spans="2:10" x14ac:dyDescent="0.25">
      <c r="B360" s="17">
        <v>1355</v>
      </c>
      <c r="C360" s="4">
        <v>45772</v>
      </c>
      <c r="D360" s="3" t="s">
        <v>23</v>
      </c>
      <c r="E360" s="3" t="s">
        <v>27</v>
      </c>
      <c r="F360" s="11">
        <v>15000</v>
      </c>
      <c r="G360" s="14">
        <v>1</v>
      </c>
      <c r="H360" s="3" t="s">
        <v>34</v>
      </c>
      <c r="I360" s="3" t="s">
        <v>21</v>
      </c>
      <c r="J360" s="3" t="str">
        <f>IFERROR(IF(AND(Table1[[#This Row],[Sales]]=0,Table1[[#This Row],[Quantity]]&lt;&gt;0),"Sales Missing",IF(AND(Table1[[#This Row],[Sales]]&lt;&gt;0,Table1[[#This Row],[Quantity]]=0),"Quantity Missing",IF(AND(Table1[[#This Row],[Sales]]=0,Table1[[#This Row],[Quantity]]=0),"Both Missing","Valid Response"))),"No Data")</f>
        <v>Valid Response</v>
      </c>
    </row>
    <row r="361" spans="2:10" x14ac:dyDescent="0.25">
      <c r="B361" s="17">
        <v>1356</v>
      </c>
      <c r="C361" s="4">
        <v>45773</v>
      </c>
      <c r="D361" s="3" t="s">
        <v>23</v>
      </c>
      <c r="E361" s="3" t="s">
        <v>10</v>
      </c>
      <c r="F361" s="11">
        <v>15000</v>
      </c>
      <c r="G361" s="14">
        <v>3</v>
      </c>
      <c r="H361" s="3" t="s">
        <v>15</v>
      </c>
      <c r="I361" s="3" t="s">
        <v>31</v>
      </c>
      <c r="J361" s="3" t="str">
        <f>IFERROR(IF(AND(Table1[[#This Row],[Sales]]=0,Table1[[#This Row],[Quantity]]&lt;&gt;0),"Sales Missing",IF(AND(Table1[[#This Row],[Sales]]&lt;&gt;0,Table1[[#This Row],[Quantity]]=0),"Quantity Missing",IF(AND(Table1[[#This Row],[Sales]]=0,Table1[[#This Row],[Quantity]]=0),"Both Missing","Valid Response"))),"No Data")</f>
        <v>Valid Response</v>
      </c>
    </row>
    <row r="362" spans="2:10" x14ac:dyDescent="0.25">
      <c r="B362" s="17">
        <v>1357</v>
      </c>
      <c r="C362" s="4">
        <v>45774</v>
      </c>
      <c r="D362" s="3" t="s">
        <v>315</v>
      </c>
      <c r="E362" s="3" t="s">
        <v>19</v>
      </c>
      <c r="F362" s="11">
        <v>52000</v>
      </c>
      <c r="G362" s="14">
        <v>2</v>
      </c>
      <c r="H362" s="3" t="s">
        <v>15</v>
      </c>
      <c r="I362" s="3" t="s">
        <v>53</v>
      </c>
      <c r="J362" s="3" t="str">
        <f>IFERROR(IF(AND(Table1[[#This Row],[Sales]]=0,Table1[[#This Row],[Quantity]]&lt;&gt;0),"Sales Missing",IF(AND(Table1[[#This Row],[Sales]]&lt;&gt;0,Table1[[#This Row],[Quantity]]=0),"Quantity Missing",IF(AND(Table1[[#This Row],[Sales]]=0,Table1[[#This Row],[Quantity]]=0),"Both Missing","Valid Response"))),"No Data")</f>
        <v>Valid Response</v>
      </c>
    </row>
    <row r="363" spans="2:10" x14ac:dyDescent="0.25">
      <c r="B363" s="17">
        <v>1358</v>
      </c>
      <c r="C363" s="4">
        <v>45775</v>
      </c>
      <c r="D363" s="3" t="s">
        <v>315</v>
      </c>
      <c r="E363" s="3" t="s">
        <v>27</v>
      </c>
      <c r="F363" s="11">
        <v>55000</v>
      </c>
      <c r="G363" s="14">
        <v>2</v>
      </c>
      <c r="H363" s="3" t="s">
        <v>46</v>
      </c>
      <c r="I363" s="3" t="s">
        <v>21</v>
      </c>
      <c r="J363" s="3" t="str">
        <f>IFERROR(IF(AND(Table1[[#This Row],[Sales]]=0,Table1[[#This Row],[Quantity]]&lt;&gt;0),"Sales Missing",IF(AND(Table1[[#This Row],[Sales]]&lt;&gt;0,Table1[[#This Row],[Quantity]]=0),"Quantity Missing",IF(AND(Table1[[#This Row],[Sales]]=0,Table1[[#This Row],[Quantity]]=0),"Both Missing","Valid Response"))),"No Data")</f>
        <v>Valid Response</v>
      </c>
    </row>
    <row r="364" spans="2:10" x14ac:dyDescent="0.25">
      <c r="B364" s="17">
        <v>1359</v>
      </c>
      <c r="C364" s="4">
        <v>45776</v>
      </c>
      <c r="D364" s="3" t="s">
        <v>45</v>
      </c>
      <c r="E364" s="3" t="s">
        <v>10</v>
      </c>
      <c r="F364" s="11">
        <v>53000</v>
      </c>
      <c r="G364" s="14">
        <v>2</v>
      </c>
      <c r="H364" s="3" t="s">
        <v>34</v>
      </c>
      <c r="I364" s="3" t="s">
        <v>21</v>
      </c>
      <c r="J364" s="3" t="str">
        <f>IFERROR(IF(AND(Table1[[#This Row],[Sales]]=0,Table1[[#This Row],[Quantity]]&lt;&gt;0),"Sales Missing",IF(AND(Table1[[#This Row],[Sales]]&lt;&gt;0,Table1[[#This Row],[Quantity]]=0),"Quantity Missing",IF(AND(Table1[[#This Row],[Sales]]=0,Table1[[#This Row],[Quantity]]=0),"Both Missing","Valid Response"))),"No Data")</f>
        <v>Valid Response</v>
      </c>
    </row>
    <row r="365" spans="2:10" x14ac:dyDescent="0.25">
      <c r="B365" s="17">
        <v>1360</v>
      </c>
      <c r="C365" s="4">
        <v>45777</v>
      </c>
      <c r="D365" s="3" t="s">
        <v>33</v>
      </c>
      <c r="E365" s="3" t="s">
        <v>27</v>
      </c>
      <c r="F365" s="11">
        <v>48000</v>
      </c>
      <c r="G365" s="14">
        <v>0</v>
      </c>
      <c r="H365" s="3" t="s">
        <v>11</v>
      </c>
      <c r="I365" s="3" t="s">
        <v>31</v>
      </c>
      <c r="J365" s="3" t="str">
        <f>IFERROR(IF(AND(Table1[[#This Row],[Sales]]=0,Table1[[#This Row],[Quantity]]&lt;&gt;0),"Sales Missing",IF(AND(Table1[[#This Row],[Sales]]&lt;&gt;0,Table1[[#This Row],[Quantity]]=0),"Quantity Missing",IF(AND(Table1[[#This Row],[Sales]]=0,Table1[[#This Row],[Quantity]]=0),"Both Missing","Valid Response"))),"No Data")</f>
        <v>Quantity Missing</v>
      </c>
    </row>
    <row r="366" spans="2:10" x14ac:dyDescent="0.25">
      <c r="B366" s="17">
        <v>1361</v>
      </c>
      <c r="C366" s="4">
        <v>45658</v>
      </c>
      <c r="D366" s="3" t="s">
        <v>45</v>
      </c>
      <c r="E366" s="3" t="s">
        <v>19</v>
      </c>
      <c r="F366" s="11">
        <v>53000</v>
      </c>
      <c r="G366" s="14">
        <v>3</v>
      </c>
      <c r="H366" s="3" t="s">
        <v>11</v>
      </c>
      <c r="I366" s="3" t="s">
        <v>21</v>
      </c>
      <c r="J366" s="3" t="str">
        <f>IFERROR(IF(AND(Table1[[#This Row],[Sales]]=0,Table1[[#This Row],[Quantity]]&lt;&gt;0),"Sales Missing",IF(AND(Table1[[#This Row],[Sales]]&lt;&gt;0,Table1[[#This Row],[Quantity]]=0),"Quantity Missing",IF(AND(Table1[[#This Row],[Sales]]=0,Table1[[#This Row],[Quantity]]=0),"Both Missing","Valid Response"))),"No Data")</f>
        <v>Valid Response</v>
      </c>
    </row>
    <row r="367" spans="2:10" x14ac:dyDescent="0.25">
      <c r="B367" s="17">
        <v>1362</v>
      </c>
      <c r="C367" s="4">
        <v>45659</v>
      </c>
      <c r="D367" s="3" t="s">
        <v>33</v>
      </c>
      <c r="E367" s="3" t="s">
        <v>27</v>
      </c>
      <c r="F367" s="11">
        <v>0</v>
      </c>
      <c r="G367" s="14">
        <v>1</v>
      </c>
      <c r="H367" s="3" t="s">
        <v>20</v>
      </c>
      <c r="I367" s="3" t="s">
        <v>31</v>
      </c>
      <c r="J367" s="3" t="str">
        <f>IFERROR(IF(AND(Table1[[#This Row],[Sales]]=0,Table1[[#This Row],[Quantity]]&lt;&gt;0),"Sales Missing",IF(AND(Table1[[#This Row],[Sales]]&lt;&gt;0,Table1[[#This Row],[Quantity]]=0),"Quantity Missing",IF(AND(Table1[[#This Row],[Sales]]=0,Table1[[#This Row],[Quantity]]=0),"Both Missing","Valid Response"))),"No Data")</f>
        <v>Sales Missing</v>
      </c>
    </row>
    <row r="368" spans="2:10" x14ac:dyDescent="0.25">
      <c r="B368" s="17">
        <v>1363</v>
      </c>
      <c r="C368" s="4">
        <v>45660</v>
      </c>
      <c r="D368" s="3" t="s">
        <v>314</v>
      </c>
      <c r="E368" s="3" t="s">
        <v>27</v>
      </c>
      <c r="F368" s="11">
        <v>53000</v>
      </c>
      <c r="G368" s="14">
        <v>3</v>
      </c>
      <c r="H368" s="3" t="s">
        <v>24</v>
      </c>
      <c r="I368" s="3" t="s">
        <v>31</v>
      </c>
      <c r="J368" s="3" t="str">
        <f>IFERROR(IF(AND(Table1[[#This Row],[Sales]]=0,Table1[[#This Row],[Quantity]]&lt;&gt;0),"Sales Missing",IF(AND(Table1[[#This Row],[Sales]]&lt;&gt;0,Table1[[#This Row],[Quantity]]=0),"Quantity Missing",IF(AND(Table1[[#This Row],[Sales]]=0,Table1[[#This Row],[Quantity]]=0),"Both Missing","Valid Response"))),"No Data")</f>
        <v>Valid Response</v>
      </c>
    </row>
    <row r="369" spans="2:10" x14ac:dyDescent="0.25">
      <c r="B369" s="17">
        <v>1364</v>
      </c>
      <c r="C369" s="4">
        <v>45661</v>
      </c>
      <c r="D369" s="3" t="s">
        <v>23</v>
      </c>
      <c r="E369" s="3" t="s">
        <v>27</v>
      </c>
      <c r="F369" s="11">
        <v>48000</v>
      </c>
      <c r="G369" s="14">
        <v>0</v>
      </c>
      <c r="H369" s="3" t="s">
        <v>46</v>
      </c>
      <c r="I369" s="3" t="s">
        <v>29</v>
      </c>
      <c r="J369" s="3" t="str">
        <f>IFERROR(IF(AND(Table1[[#This Row],[Sales]]=0,Table1[[#This Row],[Quantity]]&lt;&gt;0),"Sales Missing",IF(AND(Table1[[#This Row],[Sales]]&lt;&gt;0,Table1[[#This Row],[Quantity]]=0),"Quantity Missing",IF(AND(Table1[[#This Row],[Sales]]=0,Table1[[#This Row],[Quantity]]=0),"Both Missing","Valid Response"))),"No Data")</f>
        <v>Quantity Missing</v>
      </c>
    </row>
    <row r="370" spans="2:10" x14ac:dyDescent="0.25">
      <c r="B370" s="17">
        <v>1365</v>
      </c>
      <c r="C370" s="4">
        <v>45662</v>
      </c>
      <c r="D370" s="3" t="s">
        <v>45</v>
      </c>
      <c r="E370" s="3" t="s">
        <v>10</v>
      </c>
      <c r="F370" s="11">
        <v>20000</v>
      </c>
      <c r="G370" s="14">
        <v>0</v>
      </c>
      <c r="H370" s="3" t="s">
        <v>38</v>
      </c>
      <c r="I370" s="3" t="s">
        <v>31</v>
      </c>
      <c r="J370" s="3" t="str">
        <f>IFERROR(IF(AND(Table1[[#This Row],[Sales]]=0,Table1[[#This Row],[Quantity]]&lt;&gt;0),"Sales Missing",IF(AND(Table1[[#This Row],[Sales]]&lt;&gt;0,Table1[[#This Row],[Quantity]]=0),"Quantity Missing",IF(AND(Table1[[#This Row],[Sales]]=0,Table1[[#This Row],[Quantity]]=0),"Both Missing","Valid Response"))),"No Data")</f>
        <v>Quantity Missing</v>
      </c>
    </row>
    <row r="371" spans="2:10" x14ac:dyDescent="0.25">
      <c r="B371" s="17">
        <v>1366</v>
      </c>
      <c r="C371" s="4">
        <v>45663</v>
      </c>
      <c r="D371" s="3" t="s">
        <v>314</v>
      </c>
      <c r="E371" s="3" t="s">
        <v>27</v>
      </c>
      <c r="F371" s="11">
        <v>48000</v>
      </c>
      <c r="G371" s="14">
        <v>2</v>
      </c>
      <c r="H371" s="3" t="s">
        <v>20</v>
      </c>
      <c r="I371" s="3" t="s">
        <v>53</v>
      </c>
      <c r="J371" s="3" t="str">
        <f>IFERROR(IF(AND(Table1[[#This Row],[Sales]]=0,Table1[[#This Row],[Quantity]]&lt;&gt;0),"Sales Missing",IF(AND(Table1[[#This Row],[Sales]]&lt;&gt;0,Table1[[#This Row],[Quantity]]=0),"Quantity Missing",IF(AND(Table1[[#This Row],[Sales]]=0,Table1[[#This Row],[Quantity]]=0),"Both Missing","Valid Response"))),"No Data")</f>
        <v>Valid Response</v>
      </c>
    </row>
    <row r="372" spans="2:10" x14ac:dyDescent="0.25">
      <c r="B372" s="17">
        <v>1367</v>
      </c>
      <c r="C372" s="4">
        <v>45664</v>
      </c>
      <c r="D372" s="3" t="s">
        <v>33</v>
      </c>
      <c r="E372" s="3" t="s">
        <v>19</v>
      </c>
      <c r="F372" s="11">
        <v>15000</v>
      </c>
      <c r="G372" s="14">
        <v>2</v>
      </c>
      <c r="H372" s="3" t="s">
        <v>28</v>
      </c>
      <c r="I372" s="3" t="s">
        <v>31</v>
      </c>
      <c r="J372" s="3" t="str">
        <f>IFERROR(IF(AND(Table1[[#This Row],[Sales]]=0,Table1[[#This Row],[Quantity]]&lt;&gt;0),"Sales Missing",IF(AND(Table1[[#This Row],[Sales]]&lt;&gt;0,Table1[[#This Row],[Quantity]]=0),"Quantity Missing",IF(AND(Table1[[#This Row],[Sales]]=0,Table1[[#This Row],[Quantity]]=0),"Both Missing","Valid Response"))),"No Data")</f>
        <v>Valid Response</v>
      </c>
    </row>
    <row r="373" spans="2:10" x14ac:dyDescent="0.25">
      <c r="B373" s="17">
        <v>1368</v>
      </c>
      <c r="C373" s="4">
        <v>45665</v>
      </c>
      <c r="D373" s="3" t="s">
        <v>23</v>
      </c>
      <c r="E373" s="3" t="s">
        <v>19</v>
      </c>
      <c r="F373" s="11">
        <v>15000</v>
      </c>
      <c r="G373" s="14">
        <v>0</v>
      </c>
      <c r="H373" s="3" t="s">
        <v>24</v>
      </c>
      <c r="I373" s="3" t="s">
        <v>53</v>
      </c>
      <c r="J373" s="3" t="str">
        <f>IFERROR(IF(AND(Table1[[#This Row],[Sales]]=0,Table1[[#This Row],[Quantity]]&lt;&gt;0),"Sales Missing",IF(AND(Table1[[#This Row],[Sales]]&lt;&gt;0,Table1[[#This Row],[Quantity]]=0),"Quantity Missing",IF(AND(Table1[[#This Row],[Sales]]=0,Table1[[#This Row],[Quantity]]=0),"Both Missing","Valid Response"))),"No Data")</f>
        <v>Quantity Missing</v>
      </c>
    </row>
    <row r="374" spans="2:10" x14ac:dyDescent="0.25">
      <c r="B374" s="17">
        <v>1369</v>
      </c>
      <c r="C374" s="4">
        <v>45666</v>
      </c>
      <c r="D374" s="3" t="s">
        <v>33</v>
      </c>
      <c r="E374" s="3" t="s">
        <v>27</v>
      </c>
      <c r="F374" s="11">
        <v>21000</v>
      </c>
      <c r="G374" s="14">
        <v>1</v>
      </c>
      <c r="H374" s="3" t="s">
        <v>15</v>
      </c>
      <c r="I374" s="3" t="s">
        <v>53</v>
      </c>
      <c r="J374" s="3" t="str">
        <f>IFERROR(IF(AND(Table1[[#This Row],[Sales]]=0,Table1[[#This Row],[Quantity]]&lt;&gt;0),"Sales Missing",IF(AND(Table1[[#This Row],[Sales]]&lt;&gt;0,Table1[[#This Row],[Quantity]]=0),"Quantity Missing",IF(AND(Table1[[#This Row],[Sales]]=0,Table1[[#This Row],[Quantity]]=0),"Both Missing","Valid Response"))),"No Data")</f>
        <v>Valid Response</v>
      </c>
    </row>
    <row r="375" spans="2:10" x14ac:dyDescent="0.25">
      <c r="B375" s="17">
        <v>1370</v>
      </c>
      <c r="C375" s="4">
        <v>45667</v>
      </c>
      <c r="D375" s="3" t="s">
        <v>45</v>
      </c>
      <c r="E375" s="3" t="s">
        <v>19</v>
      </c>
      <c r="F375" s="11">
        <v>53000</v>
      </c>
      <c r="G375" s="14">
        <v>3</v>
      </c>
      <c r="H375" s="3" t="s">
        <v>24</v>
      </c>
      <c r="I375" s="3" t="s">
        <v>29</v>
      </c>
      <c r="J375" s="3" t="str">
        <f>IFERROR(IF(AND(Table1[[#This Row],[Sales]]=0,Table1[[#This Row],[Quantity]]&lt;&gt;0),"Sales Missing",IF(AND(Table1[[#This Row],[Sales]]&lt;&gt;0,Table1[[#This Row],[Quantity]]=0),"Quantity Missing",IF(AND(Table1[[#This Row],[Sales]]=0,Table1[[#This Row],[Quantity]]=0),"Both Missing","Valid Response"))),"No Data")</f>
        <v>Valid Response</v>
      </c>
    </row>
    <row r="376" spans="2:10" x14ac:dyDescent="0.25">
      <c r="B376" s="17">
        <v>1371</v>
      </c>
      <c r="C376" s="4">
        <v>45668</v>
      </c>
      <c r="D376" s="3" t="s">
        <v>23</v>
      </c>
      <c r="E376" s="3" t="s">
        <v>19</v>
      </c>
      <c r="F376" s="11">
        <v>21000</v>
      </c>
      <c r="G376" s="14">
        <v>1</v>
      </c>
      <c r="H376" s="3" t="s">
        <v>11</v>
      </c>
      <c r="I376" s="3" t="s">
        <v>21</v>
      </c>
      <c r="J376" s="3" t="str">
        <f>IFERROR(IF(AND(Table1[[#This Row],[Sales]]=0,Table1[[#This Row],[Quantity]]&lt;&gt;0),"Sales Missing",IF(AND(Table1[[#This Row],[Sales]]&lt;&gt;0,Table1[[#This Row],[Quantity]]=0),"Quantity Missing",IF(AND(Table1[[#This Row],[Sales]]=0,Table1[[#This Row],[Quantity]]=0),"Both Missing","Valid Response"))),"No Data")</f>
        <v>Valid Response</v>
      </c>
    </row>
    <row r="377" spans="2:10" x14ac:dyDescent="0.25">
      <c r="B377" s="17">
        <v>1372</v>
      </c>
      <c r="C377" s="4">
        <v>45669</v>
      </c>
      <c r="D377" s="3" t="s">
        <v>315</v>
      </c>
      <c r="E377" s="3" t="s">
        <v>19</v>
      </c>
      <c r="F377" s="11">
        <v>15000</v>
      </c>
      <c r="G377" s="14">
        <v>3</v>
      </c>
      <c r="H377" s="3" t="s">
        <v>46</v>
      </c>
      <c r="I377" s="3" t="s">
        <v>53</v>
      </c>
      <c r="J377" s="3" t="str">
        <f>IFERROR(IF(AND(Table1[[#This Row],[Sales]]=0,Table1[[#This Row],[Quantity]]&lt;&gt;0),"Sales Missing",IF(AND(Table1[[#This Row],[Sales]]&lt;&gt;0,Table1[[#This Row],[Quantity]]=0),"Quantity Missing",IF(AND(Table1[[#This Row],[Sales]]=0,Table1[[#This Row],[Quantity]]=0),"Both Missing","Valid Response"))),"No Data")</f>
        <v>Valid Response</v>
      </c>
    </row>
    <row r="378" spans="2:10" x14ac:dyDescent="0.25">
      <c r="B378" s="17">
        <v>1373</v>
      </c>
      <c r="C378" s="4">
        <v>45670</v>
      </c>
      <c r="D378" s="3" t="s">
        <v>23</v>
      </c>
      <c r="E378" s="3" t="s">
        <v>19</v>
      </c>
      <c r="F378" s="11">
        <v>48000</v>
      </c>
      <c r="G378" s="14">
        <v>0</v>
      </c>
      <c r="H378" s="3" t="s">
        <v>11</v>
      </c>
      <c r="I378" s="3" t="s">
        <v>31</v>
      </c>
      <c r="J378" s="3" t="str">
        <f>IFERROR(IF(AND(Table1[[#This Row],[Sales]]=0,Table1[[#This Row],[Quantity]]&lt;&gt;0),"Sales Missing",IF(AND(Table1[[#This Row],[Sales]]&lt;&gt;0,Table1[[#This Row],[Quantity]]=0),"Quantity Missing",IF(AND(Table1[[#This Row],[Sales]]=0,Table1[[#This Row],[Quantity]]=0),"Both Missing","Valid Response"))),"No Data")</f>
        <v>Quantity Missing</v>
      </c>
    </row>
    <row r="379" spans="2:10" x14ac:dyDescent="0.25">
      <c r="B379" s="17">
        <v>1374</v>
      </c>
      <c r="C379" s="4">
        <v>45671</v>
      </c>
      <c r="D379" s="3" t="s">
        <v>23</v>
      </c>
      <c r="E379" s="3" t="s">
        <v>10</v>
      </c>
      <c r="F379" s="11">
        <v>21000</v>
      </c>
      <c r="G379" s="14">
        <v>3</v>
      </c>
      <c r="H379" s="3" t="s">
        <v>15</v>
      </c>
      <c r="I379" s="3" t="s">
        <v>53</v>
      </c>
      <c r="J379" s="3" t="str">
        <f>IFERROR(IF(AND(Table1[[#This Row],[Sales]]=0,Table1[[#This Row],[Quantity]]&lt;&gt;0),"Sales Missing",IF(AND(Table1[[#This Row],[Sales]]&lt;&gt;0,Table1[[#This Row],[Quantity]]=0),"Quantity Missing",IF(AND(Table1[[#This Row],[Sales]]=0,Table1[[#This Row],[Quantity]]=0),"Both Missing","Valid Response"))),"No Data")</f>
        <v>Valid Response</v>
      </c>
    </row>
    <row r="380" spans="2:10" x14ac:dyDescent="0.25">
      <c r="B380" s="17">
        <v>1375</v>
      </c>
      <c r="C380" s="4">
        <v>45672</v>
      </c>
      <c r="D380" s="3" t="s">
        <v>314</v>
      </c>
      <c r="E380" s="3" t="s">
        <v>19</v>
      </c>
      <c r="F380" s="11">
        <v>15000</v>
      </c>
      <c r="G380" s="14">
        <v>0</v>
      </c>
      <c r="H380" s="3" t="s">
        <v>28</v>
      </c>
      <c r="I380" s="3" t="s">
        <v>53</v>
      </c>
      <c r="J380" s="3" t="str">
        <f>IFERROR(IF(AND(Table1[[#This Row],[Sales]]=0,Table1[[#This Row],[Quantity]]&lt;&gt;0),"Sales Missing",IF(AND(Table1[[#This Row],[Sales]]&lt;&gt;0,Table1[[#This Row],[Quantity]]=0),"Quantity Missing",IF(AND(Table1[[#This Row],[Sales]]=0,Table1[[#This Row],[Quantity]]=0),"Both Missing","Valid Response"))),"No Data")</f>
        <v>Quantity Missing</v>
      </c>
    </row>
    <row r="381" spans="2:10" x14ac:dyDescent="0.25">
      <c r="B381" s="17">
        <v>1376</v>
      </c>
      <c r="C381" s="4">
        <v>45673</v>
      </c>
      <c r="D381" s="3" t="s">
        <v>45</v>
      </c>
      <c r="E381" s="3" t="s">
        <v>27</v>
      </c>
      <c r="F381" s="11">
        <v>21000</v>
      </c>
      <c r="G381" s="14">
        <v>0</v>
      </c>
      <c r="H381" s="3" t="s">
        <v>24</v>
      </c>
      <c r="I381" s="3" t="s">
        <v>29</v>
      </c>
      <c r="J381" s="3" t="str">
        <f>IFERROR(IF(AND(Table1[[#This Row],[Sales]]=0,Table1[[#This Row],[Quantity]]&lt;&gt;0),"Sales Missing",IF(AND(Table1[[#This Row],[Sales]]&lt;&gt;0,Table1[[#This Row],[Quantity]]=0),"Quantity Missing",IF(AND(Table1[[#This Row],[Sales]]=0,Table1[[#This Row],[Quantity]]=0),"Both Missing","Valid Response"))),"No Data")</f>
        <v>Quantity Missing</v>
      </c>
    </row>
    <row r="382" spans="2:10" x14ac:dyDescent="0.25">
      <c r="B382" s="17">
        <v>1377</v>
      </c>
      <c r="C382" s="4">
        <v>45674</v>
      </c>
      <c r="D382" s="3" t="s">
        <v>314</v>
      </c>
      <c r="E382" s="3" t="s">
        <v>27</v>
      </c>
      <c r="F382" s="11">
        <v>52000</v>
      </c>
      <c r="G382" s="14">
        <v>2</v>
      </c>
      <c r="H382" s="3" t="s">
        <v>46</v>
      </c>
      <c r="I382" s="3" t="s">
        <v>31</v>
      </c>
      <c r="J382" s="3" t="str">
        <f>IFERROR(IF(AND(Table1[[#This Row],[Sales]]=0,Table1[[#This Row],[Quantity]]&lt;&gt;0),"Sales Missing",IF(AND(Table1[[#This Row],[Sales]]&lt;&gt;0,Table1[[#This Row],[Quantity]]=0),"Quantity Missing",IF(AND(Table1[[#This Row],[Sales]]=0,Table1[[#This Row],[Quantity]]=0),"Both Missing","Valid Response"))),"No Data")</f>
        <v>Valid Response</v>
      </c>
    </row>
    <row r="383" spans="2:10" x14ac:dyDescent="0.25">
      <c r="B383" s="17">
        <v>1378</v>
      </c>
      <c r="C383" s="4">
        <v>45675</v>
      </c>
      <c r="D383" s="3" t="s">
        <v>314</v>
      </c>
      <c r="E383" s="3" t="s">
        <v>27</v>
      </c>
      <c r="F383" s="11">
        <v>21000</v>
      </c>
      <c r="G383" s="14">
        <v>3</v>
      </c>
      <c r="H383" s="3" t="s">
        <v>28</v>
      </c>
      <c r="I383" s="3" t="s">
        <v>21</v>
      </c>
      <c r="J383" s="3" t="str">
        <f>IFERROR(IF(AND(Table1[[#This Row],[Sales]]=0,Table1[[#This Row],[Quantity]]&lt;&gt;0),"Sales Missing",IF(AND(Table1[[#This Row],[Sales]]&lt;&gt;0,Table1[[#This Row],[Quantity]]=0),"Quantity Missing",IF(AND(Table1[[#This Row],[Sales]]=0,Table1[[#This Row],[Quantity]]=0),"Both Missing","Valid Response"))),"No Data")</f>
        <v>Valid Response</v>
      </c>
    </row>
    <row r="384" spans="2:10" x14ac:dyDescent="0.25">
      <c r="B384" s="17">
        <v>1379</v>
      </c>
      <c r="C384" s="4">
        <v>45676</v>
      </c>
      <c r="D384" s="3" t="s">
        <v>45</v>
      </c>
      <c r="E384" s="3" t="s">
        <v>19</v>
      </c>
      <c r="F384" s="11">
        <v>48000</v>
      </c>
      <c r="G384" s="14">
        <v>3</v>
      </c>
      <c r="H384" s="3" t="s">
        <v>34</v>
      </c>
      <c r="I384" s="3" t="s">
        <v>29</v>
      </c>
      <c r="J384" s="3" t="str">
        <f>IFERROR(IF(AND(Table1[[#This Row],[Sales]]=0,Table1[[#This Row],[Quantity]]&lt;&gt;0),"Sales Missing",IF(AND(Table1[[#This Row],[Sales]]&lt;&gt;0,Table1[[#This Row],[Quantity]]=0),"Quantity Missing",IF(AND(Table1[[#This Row],[Sales]]=0,Table1[[#This Row],[Quantity]]=0),"Both Missing","Valid Response"))),"No Data")</f>
        <v>Valid Response</v>
      </c>
    </row>
    <row r="385" spans="2:10" x14ac:dyDescent="0.25">
      <c r="B385" s="17">
        <v>1380</v>
      </c>
      <c r="C385" s="4">
        <v>45677</v>
      </c>
      <c r="D385" s="3" t="s">
        <v>33</v>
      </c>
      <c r="E385" s="3" t="s">
        <v>27</v>
      </c>
      <c r="F385" s="11">
        <v>48000</v>
      </c>
      <c r="G385" s="14">
        <v>0</v>
      </c>
      <c r="H385" s="3" t="s">
        <v>28</v>
      </c>
      <c r="I385" s="3" t="s">
        <v>21</v>
      </c>
      <c r="J385" s="3" t="str">
        <f>IFERROR(IF(AND(Table1[[#This Row],[Sales]]=0,Table1[[#This Row],[Quantity]]&lt;&gt;0),"Sales Missing",IF(AND(Table1[[#This Row],[Sales]]&lt;&gt;0,Table1[[#This Row],[Quantity]]=0),"Quantity Missing",IF(AND(Table1[[#This Row],[Sales]]=0,Table1[[#This Row],[Quantity]]=0),"Both Missing","Valid Response"))),"No Data")</f>
        <v>Quantity Missing</v>
      </c>
    </row>
    <row r="386" spans="2:10" x14ac:dyDescent="0.25">
      <c r="B386" s="17">
        <v>1381</v>
      </c>
      <c r="C386" s="4">
        <v>45678</v>
      </c>
      <c r="D386" s="3" t="s">
        <v>33</v>
      </c>
      <c r="E386" s="3" t="s">
        <v>27</v>
      </c>
      <c r="F386" s="11">
        <v>21000</v>
      </c>
      <c r="G386" s="14">
        <v>2</v>
      </c>
      <c r="H386" s="3" t="s">
        <v>28</v>
      </c>
      <c r="I386" s="3" t="s">
        <v>31</v>
      </c>
      <c r="J386" s="3" t="str">
        <f>IFERROR(IF(AND(Table1[[#This Row],[Sales]]=0,Table1[[#This Row],[Quantity]]&lt;&gt;0),"Sales Missing",IF(AND(Table1[[#This Row],[Sales]]&lt;&gt;0,Table1[[#This Row],[Quantity]]=0),"Quantity Missing",IF(AND(Table1[[#This Row],[Sales]]=0,Table1[[#This Row],[Quantity]]=0),"Both Missing","Valid Response"))),"No Data")</f>
        <v>Valid Response</v>
      </c>
    </row>
    <row r="387" spans="2:10" x14ac:dyDescent="0.25">
      <c r="B387" s="17">
        <v>1382</v>
      </c>
      <c r="C387" s="4">
        <v>45679</v>
      </c>
      <c r="D387" s="3" t="s">
        <v>315</v>
      </c>
      <c r="E387" s="3" t="s">
        <v>19</v>
      </c>
      <c r="F387" s="11">
        <v>0</v>
      </c>
      <c r="G387" s="14">
        <v>1</v>
      </c>
      <c r="H387" s="3" t="s">
        <v>46</v>
      </c>
      <c r="I387" s="3" t="s">
        <v>53</v>
      </c>
      <c r="J387" s="3" t="str">
        <f>IFERROR(IF(AND(Table1[[#This Row],[Sales]]=0,Table1[[#This Row],[Quantity]]&lt;&gt;0),"Sales Missing",IF(AND(Table1[[#This Row],[Sales]]&lt;&gt;0,Table1[[#This Row],[Quantity]]=0),"Quantity Missing",IF(AND(Table1[[#This Row],[Sales]]=0,Table1[[#This Row],[Quantity]]=0),"Both Missing","Valid Response"))),"No Data")</f>
        <v>Sales Missing</v>
      </c>
    </row>
    <row r="388" spans="2:10" x14ac:dyDescent="0.25">
      <c r="B388" s="17">
        <v>1383</v>
      </c>
      <c r="C388" s="4">
        <v>45680</v>
      </c>
      <c r="D388" s="3" t="s">
        <v>23</v>
      </c>
      <c r="E388" s="3" t="s">
        <v>19</v>
      </c>
      <c r="F388" s="11">
        <v>15000</v>
      </c>
      <c r="G388" s="14">
        <v>1</v>
      </c>
      <c r="H388" s="3" t="s">
        <v>24</v>
      </c>
      <c r="I388" s="3" t="s">
        <v>21</v>
      </c>
      <c r="J388" s="3" t="str">
        <f>IFERROR(IF(AND(Table1[[#This Row],[Sales]]=0,Table1[[#This Row],[Quantity]]&lt;&gt;0),"Sales Missing",IF(AND(Table1[[#This Row],[Sales]]&lt;&gt;0,Table1[[#This Row],[Quantity]]=0),"Quantity Missing",IF(AND(Table1[[#This Row],[Sales]]=0,Table1[[#This Row],[Quantity]]=0),"Both Missing","Valid Response"))),"No Data")</f>
        <v>Valid Response</v>
      </c>
    </row>
    <row r="389" spans="2:10" x14ac:dyDescent="0.25">
      <c r="B389" s="17">
        <v>1384</v>
      </c>
      <c r="C389" s="4">
        <v>45681</v>
      </c>
      <c r="D389" s="3" t="s">
        <v>315</v>
      </c>
      <c r="E389" s="3" t="s">
        <v>27</v>
      </c>
      <c r="F389" s="11">
        <v>15000</v>
      </c>
      <c r="G389" s="14">
        <v>1</v>
      </c>
      <c r="H389" s="3" t="s">
        <v>34</v>
      </c>
      <c r="I389" s="3" t="s">
        <v>53</v>
      </c>
      <c r="J389" s="3" t="str">
        <f>IFERROR(IF(AND(Table1[[#This Row],[Sales]]=0,Table1[[#This Row],[Quantity]]&lt;&gt;0),"Sales Missing",IF(AND(Table1[[#This Row],[Sales]]&lt;&gt;0,Table1[[#This Row],[Quantity]]=0),"Quantity Missing",IF(AND(Table1[[#This Row],[Sales]]=0,Table1[[#This Row],[Quantity]]=0),"Both Missing","Valid Response"))),"No Data")</f>
        <v>Valid Response</v>
      </c>
    </row>
    <row r="390" spans="2:10" x14ac:dyDescent="0.25">
      <c r="B390" s="17">
        <v>1385</v>
      </c>
      <c r="C390" s="4">
        <v>45682</v>
      </c>
      <c r="D390" s="3" t="s">
        <v>33</v>
      </c>
      <c r="E390" s="3" t="s">
        <v>19</v>
      </c>
      <c r="F390" s="11">
        <v>53000</v>
      </c>
      <c r="G390" s="14">
        <v>0</v>
      </c>
      <c r="H390" s="3" t="s">
        <v>15</v>
      </c>
      <c r="I390" s="3" t="s">
        <v>53</v>
      </c>
      <c r="J390" s="3" t="str">
        <f>IFERROR(IF(AND(Table1[[#This Row],[Sales]]=0,Table1[[#This Row],[Quantity]]&lt;&gt;0),"Sales Missing",IF(AND(Table1[[#This Row],[Sales]]&lt;&gt;0,Table1[[#This Row],[Quantity]]=0),"Quantity Missing",IF(AND(Table1[[#This Row],[Sales]]=0,Table1[[#This Row],[Quantity]]=0),"Both Missing","Valid Response"))),"No Data")</f>
        <v>Quantity Missing</v>
      </c>
    </row>
    <row r="391" spans="2:10" x14ac:dyDescent="0.25">
      <c r="B391" s="17">
        <v>1386</v>
      </c>
      <c r="C391" s="4">
        <v>45683</v>
      </c>
      <c r="D391" s="3" t="s">
        <v>33</v>
      </c>
      <c r="E391" s="3" t="s">
        <v>19</v>
      </c>
      <c r="F391" s="11">
        <v>48000</v>
      </c>
      <c r="G391" s="14">
        <v>3</v>
      </c>
      <c r="H391" s="3" t="s">
        <v>15</v>
      </c>
      <c r="I391" s="3" t="s">
        <v>53</v>
      </c>
      <c r="J391" s="3" t="str">
        <f>IFERROR(IF(AND(Table1[[#This Row],[Sales]]=0,Table1[[#This Row],[Quantity]]&lt;&gt;0),"Sales Missing",IF(AND(Table1[[#This Row],[Sales]]&lt;&gt;0,Table1[[#This Row],[Quantity]]=0),"Quantity Missing",IF(AND(Table1[[#This Row],[Sales]]=0,Table1[[#This Row],[Quantity]]=0),"Both Missing","Valid Response"))),"No Data")</f>
        <v>Valid Response</v>
      </c>
    </row>
    <row r="392" spans="2:10" x14ac:dyDescent="0.25">
      <c r="B392" s="17">
        <v>1387</v>
      </c>
      <c r="C392" s="4">
        <v>45684</v>
      </c>
      <c r="D392" s="3" t="s">
        <v>33</v>
      </c>
      <c r="E392" s="3" t="s">
        <v>19</v>
      </c>
      <c r="F392" s="11">
        <v>15000</v>
      </c>
      <c r="G392" s="14">
        <v>3</v>
      </c>
      <c r="H392" s="3" t="s">
        <v>34</v>
      </c>
      <c r="I392" s="3" t="s">
        <v>29</v>
      </c>
      <c r="J392" s="3" t="str">
        <f>IFERROR(IF(AND(Table1[[#This Row],[Sales]]=0,Table1[[#This Row],[Quantity]]&lt;&gt;0),"Sales Missing",IF(AND(Table1[[#This Row],[Sales]]&lt;&gt;0,Table1[[#This Row],[Quantity]]=0),"Quantity Missing",IF(AND(Table1[[#This Row],[Sales]]=0,Table1[[#This Row],[Quantity]]=0),"Both Missing","Valid Response"))),"No Data")</f>
        <v>Valid Response</v>
      </c>
    </row>
    <row r="393" spans="2:10" x14ac:dyDescent="0.25">
      <c r="B393" s="17">
        <v>1388</v>
      </c>
      <c r="C393" s="4">
        <v>45685</v>
      </c>
      <c r="D393" s="3" t="s">
        <v>315</v>
      </c>
      <c r="E393" s="3" t="s">
        <v>19</v>
      </c>
      <c r="F393" s="11">
        <v>55000</v>
      </c>
      <c r="G393" s="14">
        <v>3</v>
      </c>
      <c r="H393" s="3" t="s">
        <v>34</v>
      </c>
      <c r="I393" s="3" t="s">
        <v>53</v>
      </c>
      <c r="J393" s="3" t="str">
        <f>IFERROR(IF(AND(Table1[[#This Row],[Sales]]=0,Table1[[#This Row],[Quantity]]&lt;&gt;0),"Sales Missing",IF(AND(Table1[[#This Row],[Sales]]&lt;&gt;0,Table1[[#This Row],[Quantity]]=0),"Quantity Missing",IF(AND(Table1[[#This Row],[Sales]]=0,Table1[[#This Row],[Quantity]]=0),"Both Missing","Valid Response"))),"No Data")</f>
        <v>Valid Response</v>
      </c>
    </row>
    <row r="394" spans="2:10" x14ac:dyDescent="0.25">
      <c r="B394" s="17">
        <v>1389</v>
      </c>
      <c r="C394" s="4">
        <v>45686</v>
      </c>
      <c r="D394" s="3" t="s">
        <v>314</v>
      </c>
      <c r="E394" s="3" t="s">
        <v>10</v>
      </c>
      <c r="F394" s="11">
        <v>20000</v>
      </c>
      <c r="G394" s="14">
        <v>3</v>
      </c>
      <c r="H394" s="3" t="s">
        <v>34</v>
      </c>
      <c r="I394" s="3" t="s">
        <v>53</v>
      </c>
      <c r="J394" s="3" t="str">
        <f>IFERROR(IF(AND(Table1[[#This Row],[Sales]]=0,Table1[[#This Row],[Quantity]]&lt;&gt;0),"Sales Missing",IF(AND(Table1[[#This Row],[Sales]]&lt;&gt;0,Table1[[#This Row],[Quantity]]=0),"Quantity Missing",IF(AND(Table1[[#This Row],[Sales]]=0,Table1[[#This Row],[Quantity]]=0),"Both Missing","Valid Response"))),"No Data")</f>
        <v>Valid Response</v>
      </c>
    </row>
    <row r="395" spans="2:10" x14ac:dyDescent="0.25">
      <c r="B395" s="17">
        <v>1390</v>
      </c>
      <c r="C395" s="4">
        <v>45687</v>
      </c>
      <c r="D395" s="3" t="s">
        <v>23</v>
      </c>
      <c r="E395" s="3" t="s">
        <v>27</v>
      </c>
      <c r="F395" s="11">
        <v>0</v>
      </c>
      <c r="G395" s="14">
        <v>3</v>
      </c>
      <c r="H395" s="3" t="s">
        <v>20</v>
      </c>
      <c r="I395" s="3" t="s">
        <v>21</v>
      </c>
      <c r="J395" s="3" t="str">
        <f>IFERROR(IF(AND(Table1[[#This Row],[Sales]]=0,Table1[[#This Row],[Quantity]]&lt;&gt;0),"Sales Missing",IF(AND(Table1[[#This Row],[Sales]]&lt;&gt;0,Table1[[#This Row],[Quantity]]=0),"Quantity Missing",IF(AND(Table1[[#This Row],[Sales]]=0,Table1[[#This Row],[Quantity]]=0),"Both Missing","Valid Response"))),"No Data")</f>
        <v>Sales Missing</v>
      </c>
    </row>
    <row r="396" spans="2:10" x14ac:dyDescent="0.25">
      <c r="B396" s="17">
        <v>1391</v>
      </c>
      <c r="C396" s="4">
        <v>45688</v>
      </c>
      <c r="D396" s="3" t="s">
        <v>33</v>
      </c>
      <c r="E396" s="3" t="s">
        <v>19</v>
      </c>
      <c r="F396" s="11">
        <v>48000</v>
      </c>
      <c r="G396" s="14">
        <v>3</v>
      </c>
      <c r="H396" s="3" t="s">
        <v>34</v>
      </c>
      <c r="I396" s="3" t="s">
        <v>29</v>
      </c>
      <c r="J396" s="3" t="str">
        <f>IFERROR(IF(AND(Table1[[#This Row],[Sales]]=0,Table1[[#This Row],[Quantity]]&lt;&gt;0),"Sales Missing",IF(AND(Table1[[#This Row],[Sales]]&lt;&gt;0,Table1[[#This Row],[Quantity]]=0),"Quantity Missing",IF(AND(Table1[[#This Row],[Sales]]=0,Table1[[#This Row],[Quantity]]=0),"Both Missing","Valid Response"))),"No Data")</f>
        <v>Valid Response</v>
      </c>
    </row>
    <row r="397" spans="2:10" x14ac:dyDescent="0.25">
      <c r="B397" s="17">
        <v>1392</v>
      </c>
      <c r="C397" s="4">
        <v>45689</v>
      </c>
      <c r="D397" s="3" t="s">
        <v>33</v>
      </c>
      <c r="E397" s="3" t="s">
        <v>19</v>
      </c>
      <c r="F397" s="11">
        <v>21000</v>
      </c>
      <c r="G397" s="14">
        <v>0</v>
      </c>
      <c r="H397" s="3" t="s">
        <v>28</v>
      </c>
      <c r="I397" s="3" t="s">
        <v>31</v>
      </c>
      <c r="J397" s="3" t="str">
        <f>IFERROR(IF(AND(Table1[[#This Row],[Sales]]=0,Table1[[#This Row],[Quantity]]&lt;&gt;0),"Sales Missing",IF(AND(Table1[[#This Row],[Sales]]&lt;&gt;0,Table1[[#This Row],[Quantity]]=0),"Quantity Missing",IF(AND(Table1[[#This Row],[Sales]]=0,Table1[[#This Row],[Quantity]]=0),"Both Missing","Valid Response"))),"No Data")</f>
        <v>Quantity Missing</v>
      </c>
    </row>
    <row r="398" spans="2:10" x14ac:dyDescent="0.25">
      <c r="B398" s="17">
        <v>1393</v>
      </c>
      <c r="C398" s="4">
        <v>45690</v>
      </c>
      <c r="D398" s="3" t="s">
        <v>33</v>
      </c>
      <c r="E398" s="3" t="s">
        <v>10</v>
      </c>
      <c r="F398" s="11">
        <v>48000</v>
      </c>
      <c r="G398" s="14">
        <v>3</v>
      </c>
      <c r="H398" s="3" t="s">
        <v>24</v>
      </c>
      <c r="I398" s="3" t="s">
        <v>29</v>
      </c>
      <c r="J398" s="3" t="str">
        <f>IFERROR(IF(AND(Table1[[#This Row],[Sales]]=0,Table1[[#This Row],[Quantity]]&lt;&gt;0),"Sales Missing",IF(AND(Table1[[#This Row],[Sales]]&lt;&gt;0,Table1[[#This Row],[Quantity]]=0),"Quantity Missing",IF(AND(Table1[[#This Row],[Sales]]=0,Table1[[#This Row],[Quantity]]=0),"Both Missing","Valid Response"))),"No Data")</f>
        <v>Valid Response</v>
      </c>
    </row>
    <row r="399" spans="2:10" x14ac:dyDescent="0.25">
      <c r="B399" s="17">
        <v>1394</v>
      </c>
      <c r="C399" s="4">
        <v>45691</v>
      </c>
      <c r="D399" s="3" t="s">
        <v>45</v>
      </c>
      <c r="E399" s="3" t="s">
        <v>10</v>
      </c>
      <c r="F399" s="11">
        <v>15000</v>
      </c>
      <c r="G399" s="14">
        <v>0</v>
      </c>
      <c r="H399" s="3" t="s">
        <v>34</v>
      </c>
      <c r="I399" s="3" t="s">
        <v>53</v>
      </c>
      <c r="J399" s="3" t="str">
        <f>IFERROR(IF(AND(Table1[[#This Row],[Sales]]=0,Table1[[#This Row],[Quantity]]&lt;&gt;0),"Sales Missing",IF(AND(Table1[[#This Row],[Sales]]&lt;&gt;0,Table1[[#This Row],[Quantity]]=0),"Quantity Missing",IF(AND(Table1[[#This Row],[Sales]]=0,Table1[[#This Row],[Quantity]]=0),"Both Missing","Valid Response"))),"No Data")</f>
        <v>Quantity Missing</v>
      </c>
    </row>
    <row r="400" spans="2:10" x14ac:dyDescent="0.25">
      <c r="B400" s="17">
        <v>1395</v>
      </c>
      <c r="C400" s="4">
        <v>45692</v>
      </c>
      <c r="D400" s="3" t="s">
        <v>33</v>
      </c>
      <c r="E400" s="3" t="s">
        <v>19</v>
      </c>
      <c r="F400" s="11">
        <v>55000</v>
      </c>
      <c r="G400" s="14">
        <v>2</v>
      </c>
      <c r="H400" s="3" t="s">
        <v>11</v>
      </c>
      <c r="I400" s="3" t="s">
        <v>29</v>
      </c>
      <c r="J400" s="3" t="str">
        <f>IFERROR(IF(AND(Table1[[#This Row],[Sales]]=0,Table1[[#This Row],[Quantity]]&lt;&gt;0),"Sales Missing",IF(AND(Table1[[#This Row],[Sales]]&lt;&gt;0,Table1[[#This Row],[Quantity]]=0),"Quantity Missing",IF(AND(Table1[[#This Row],[Sales]]=0,Table1[[#This Row],[Quantity]]=0),"Both Missing","Valid Response"))),"No Data")</f>
        <v>Valid Response</v>
      </c>
    </row>
    <row r="401" spans="2:10" x14ac:dyDescent="0.25">
      <c r="B401" s="17">
        <v>1396</v>
      </c>
      <c r="C401" s="4">
        <v>45693</v>
      </c>
      <c r="D401" s="3" t="s">
        <v>314</v>
      </c>
      <c r="E401" s="3" t="s">
        <v>19</v>
      </c>
      <c r="F401" s="11">
        <v>53000</v>
      </c>
      <c r="G401" s="14">
        <v>2</v>
      </c>
      <c r="H401" s="3" t="s">
        <v>34</v>
      </c>
      <c r="I401" s="3" t="s">
        <v>21</v>
      </c>
      <c r="J401" s="3" t="str">
        <f>IFERROR(IF(AND(Table1[[#This Row],[Sales]]=0,Table1[[#This Row],[Quantity]]&lt;&gt;0),"Sales Missing",IF(AND(Table1[[#This Row],[Sales]]&lt;&gt;0,Table1[[#This Row],[Quantity]]=0),"Quantity Missing",IF(AND(Table1[[#This Row],[Sales]]=0,Table1[[#This Row],[Quantity]]=0),"Both Missing","Valid Response"))),"No Data")</f>
        <v>Valid Response</v>
      </c>
    </row>
    <row r="402" spans="2:10" x14ac:dyDescent="0.25">
      <c r="B402" s="17">
        <v>1397</v>
      </c>
      <c r="C402" s="4">
        <v>45694</v>
      </c>
      <c r="D402" s="3" t="s">
        <v>315</v>
      </c>
      <c r="E402" s="3" t="s">
        <v>19</v>
      </c>
      <c r="F402" s="11">
        <v>55000</v>
      </c>
      <c r="G402" s="14">
        <v>1</v>
      </c>
      <c r="H402" s="3" t="s">
        <v>11</v>
      </c>
      <c r="I402" s="3" t="s">
        <v>21</v>
      </c>
      <c r="J402" s="3" t="str">
        <f>IFERROR(IF(AND(Table1[[#This Row],[Sales]]=0,Table1[[#This Row],[Quantity]]&lt;&gt;0),"Sales Missing",IF(AND(Table1[[#This Row],[Sales]]&lt;&gt;0,Table1[[#This Row],[Quantity]]=0),"Quantity Missing",IF(AND(Table1[[#This Row],[Sales]]=0,Table1[[#This Row],[Quantity]]=0),"Both Missing","Valid Response"))),"No Data")</f>
        <v>Valid Response</v>
      </c>
    </row>
    <row r="403" spans="2:10" x14ac:dyDescent="0.25">
      <c r="B403" s="17">
        <v>1398</v>
      </c>
      <c r="C403" s="4">
        <v>45695</v>
      </c>
      <c r="D403" s="3" t="s">
        <v>315</v>
      </c>
      <c r="E403" s="3" t="s">
        <v>19</v>
      </c>
      <c r="F403" s="11">
        <v>0</v>
      </c>
      <c r="G403" s="14">
        <v>1</v>
      </c>
      <c r="H403" s="3" t="s">
        <v>34</v>
      </c>
      <c r="I403" s="3" t="s">
        <v>53</v>
      </c>
      <c r="J403" s="3" t="str">
        <f>IFERROR(IF(AND(Table1[[#This Row],[Sales]]=0,Table1[[#This Row],[Quantity]]&lt;&gt;0),"Sales Missing",IF(AND(Table1[[#This Row],[Sales]]&lt;&gt;0,Table1[[#This Row],[Quantity]]=0),"Quantity Missing",IF(AND(Table1[[#This Row],[Sales]]=0,Table1[[#This Row],[Quantity]]=0),"Both Missing","Valid Response"))),"No Data")</f>
        <v>Sales Missing</v>
      </c>
    </row>
    <row r="404" spans="2:10" x14ac:dyDescent="0.25">
      <c r="B404" s="17">
        <v>1399</v>
      </c>
      <c r="C404" s="4">
        <v>45696</v>
      </c>
      <c r="D404" s="3" t="s">
        <v>23</v>
      </c>
      <c r="E404" s="3" t="s">
        <v>27</v>
      </c>
      <c r="F404" s="11">
        <v>15000</v>
      </c>
      <c r="G404" s="14">
        <v>0</v>
      </c>
      <c r="H404" s="3" t="s">
        <v>34</v>
      </c>
      <c r="I404" s="3" t="s">
        <v>53</v>
      </c>
      <c r="J404" s="3" t="str">
        <f>IFERROR(IF(AND(Table1[[#This Row],[Sales]]=0,Table1[[#This Row],[Quantity]]&lt;&gt;0),"Sales Missing",IF(AND(Table1[[#This Row],[Sales]]&lt;&gt;0,Table1[[#This Row],[Quantity]]=0),"Quantity Missing",IF(AND(Table1[[#This Row],[Sales]]=0,Table1[[#This Row],[Quantity]]=0),"Both Missing","Valid Response"))),"No Data")</f>
        <v>Quantity Missing</v>
      </c>
    </row>
    <row r="405" spans="2:10" x14ac:dyDescent="0.25">
      <c r="B405" s="17">
        <v>1400</v>
      </c>
      <c r="C405" s="4">
        <v>45697</v>
      </c>
      <c r="D405" s="3" t="s">
        <v>23</v>
      </c>
      <c r="E405" s="3" t="s">
        <v>19</v>
      </c>
      <c r="F405" s="11">
        <v>0</v>
      </c>
      <c r="G405" s="14">
        <v>0</v>
      </c>
      <c r="H405" s="3" t="s">
        <v>15</v>
      </c>
      <c r="I405" s="3" t="s">
        <v>53</v>
      </c>
      <c r="J405" s="3" t="str">
        <f>IFERROR(IF(AND(Table1[[#This Row],[Sales]]=0,Table1[[#This Row],[Quantity]]&lt;&gt;0),"Sales Missing",IF(AND(Table1[[#This Row],[Sales]]&lt;&gt;0,Table1[[#This Row],[Quantity]]=0),"Quantity Missing",IF(AND(Table1[[#This Row],[Sales]]=0,Table1[[#This Row],[Quantity]]=0),"Both Missing","Valid Response"))),"No Data")</f>
        <v>Both Missing</v>
      </c>
    </row>
    <row r="406" spans="2:10" x14ac:dyDescent="0.25">
      <c r="B406" s="17">
        <v>1401</v>
      </c>
      <c r="C406" s="4">
        <v>45698</v>
      </c>
      <c r="D406" s="3" t="s">
        <v>33</v>
      </c>
      <c r="E406" s="3" t="s">
        <v>10</v>
      </c>
      <c r="F406" s="11">
        <v>53000</v>
      </c>
      <c r="G406" s="14">
        <v>2</v>
      </c>
      <c r="H406" s="3" t="s">
        <v>15</v>
      </c>
      <c r="I406" s="3" t="s">
        <v>53</v>
      </c>
      <c r="J406" s="3" t="str">
        <f>IFERROR(IF(AND(Table1[[#This Row],[Sales]]=0,Table1[[#This Row],[Quantity]]&lt;&gt;0),"Sales Missing",IF(AND(Table1[[#This Row],[Sales]]&lt;&gt;0,Table1[[#This Row],[Quantity]]=0),"Quantity Missing",IF(AND(Table1[[#This Row],[Sales]]=0,Table1[[#This Row],[Quantity]]=0),"Both Missing","Valid Response"))),"No Data")</f>
        <v>Valid Response</v>
      </c>
    </row>
    <row r="407" spans="2:10" x14ac:dyDescent="0.25">
      <c r="B407" s="17">
        <v>1402</v>
      </c>
      <c r="C407" s="4">
        <v>45699</v>
      </c>
      <c r="D407" s="3" t="s">
        <v>23</v>
      </c>
      <c r="E407" s="3" t="s">
        <v>19</v>
      </c>
      <c r="F407" s="11">
        <v>48000</v>
      </c>
      <c r="G407" s="14">
        <v>2</v>
      </c>
      <c r="H407" s="3" t="s">
        <v>15</v>
      </c>
      <c r="I407" s="3" t="s">
        <v>53</v>
      </c>
      <c r="J407" s="3" t="str">
        <f>IFERROR(IF(AND(Table1[[#This Row],[Sales]]=0,Table1[[#This Row],[Quantity]]&lt;&gt;0),"Sales Missing",IF(AND(Table1[[#This Row],[Sales]]&lt;&gt;0,Table1[[#This Row],[Quantity]]=0),"Quantity Missing",IF(AND(Table1[[#This Row],[Sales]]=0,Table1[[#This Row],[Quantity]]=0),"Both Missing","Valid Response"))),"No Data")</f>
        <v>Valid Response</v>
      </c>
    </row>
    <row r="408" spans="2:10" x14ac:dyDescent="0.25">
      <c r="B408" s="17">
        <v>1403</v>
      </c>
      <c r="C408" s="4">
        <v>45700</v>
      </c>
      <c r="D408" s="3" t="s">
        <v>314</v>
      </c>
      <c r="E408" s="3" t="s">
        <v>19</v>
      </c>
      <c r="F408" s="11">
        <v>53000</v>
      </c>
      <c r="G408" s="14">
        <v>2</v>
      </c>
      <c r="H408" s="3" t="s">
        <v>20</v>
      </c>
      <c r="I408" s="3" t="s">
        <v>53</v>
      </c>
      <c r="J408" s="3" t="str">
        <f>IFERROR(IF(AND(Table1[[#This Row],[Sales]]=0,Table1[[#This Row],[Quantity]]&lt;&gt;0),"Sales Missing",IF(AND(Table1[[#This Row],[Sales]]&lt;&gt;0,Table1[[#This Row],[Quantity]]=0),"Quantity Missing",IF(AND(Table1[[#This Row],[Sales]]=0,Table1[[#This Row],[Quantity]]=0),"Both Missing","Valid Response"))),"No Data")</f>
        <v>Valid Response</v>
      </c>
    </row>
    <row r="409" spans="2:10" x14ac:dyDescent="0.25">
      <c r="B409" s="17">
        <v>1404</v>
      </c>
      <c r="C409" s="4">
        <v>45701</v>
      </c>
      <c r="D409" s="3" t="s">
        <v>23</v>
      </c>
      <c r="E409" s="3" t="s">
        <v>19</v>
      </c>
      <c r="F409" s="11">
        <v>52000</v>
      </c>
      <c r="G409" s="14">
        <v>2</v>
      </c>
      <c r="H409" s="3" t="s">
        <v>11</v>
      </c>
      <c r="I409" s="3" t="s">
        <v>31</v>
      </c>
      <c r="J409" s="3" t="str">
        <f>IFERROR(IF(AND(Table1[[#This Row],[Sales]]=0,Table1[[#This Row],[Quantity]]&lt;&gt;0),"Sales Missing",IF(AND(Table1[[#This Row],[Sales]]&lt;&gt;0,Table1[[#This Row],[Quantity]]=0),"Quantity Missing",IF(AND(Table1[[#This Row],[Sales]]=0,Table1[[#This Row],[Quantity]]=0),"Both Missing","Valid Response"))),"No Data")</f>
        <v>Valid Response</v>
      </c>
    </row>
    <row r="410" spans="2:10" x14ac:dyDescent="0.25">
      <c r="B410" s="17">
        <v>1405</v>
      </c>
      <c r="C410" s="4">
        <v>45702</v>
      </c>
      <c r="D410" s="3" t="s">
        <v>23</v>
      </c>
      <c r="E410" s="3" t="s">
        <v>27</v>
      </c>
      <c r="F410" s="11">
        <v>20000</v>
      </c>
      <c r="G410" s="14">
        <v>0</v>
      </c>
      <c r="H410" s="3" t="s">
        <v>38</v>
      </c>
      <c r="I410" s="3" t="s">
        <v>21</v>
      </c>
      <c r="J410" s="3" t="str">
        <f>IFERROR(IF(AND(Table1[[#This Row],[Sales]]=0,Table1[[#This Row],[Quantity]]&lt;&gt;0),"Sales Missing",IF(AND(Table1[[#This Row],[Sales]]&lt;&gt;0,Table1[[#This Row],[Quantity]]=0),"Quantity Missing",IF(AND(Table1[[#This Row],[Sales]]=0,Table1[[#This Row],[Quantity]]=0),"Both Missing","Valid Response"))),"No Data")</f>
        <v>Quantity Missing</v>
      </c>
    </row>
    <row r="411" spans="2:10" x14ac:dyDescent="0.25">
      <c r="B411" s="17">
        <v>1406</v>
      </c>
      <c r="C411" s="4">
        <v>45703</v>
      </c>
      <c r="D411" s="3" t="s">
        <v>314</v>
      </c>
      <c r="E411" s="3" t="s">
        <v>27</v>
      </c>
      <c r="F411" s="11">
        <v>15000</v>
      </c>
      <c r="G411" s="14">
        <v>0</v>
      </c>
      <c r="H411" s="3" t="s">
        <v>34</v>
      </c>
      <c r="I411" s="3" t="s">
        <v>31</v>
      </c>
      <c r="J411" s="3" t="str">
        <f>IFERROR(IF(AND(Table1[[#This Row],[Sales]]=0,Table1[[#This Row],[Quantity]]&lt;&gt;0),"Sales Missing",IF(AND(Table1[[#This Row],[Sales]]&lt;&gt;0,Table1[[#This Row],[Quantity]]=0),"Quantity Missing",IF(AND(Table1[[#This Row],[Sales]]=0,Table1[[#This Row],[Quantity]]=0),"Both Missing","Valid Response"))),"No Data")</f>
        <v>Quantity Missing</v>
      </c>
    </row>
    <row r="412" spans="2:10" x14ac:dyDescent="0.25">
      <c r="B412" s="17">
        <v>1407</v>
      </c>
      <c r="C412" s="4">
        <v>45704</v>
      </c>
      <c r="D412" s="3" t="s">
        <v>23</v>
      </c>
      <c r="E412" s="3" t="s">
        <v>27</v>
      </c>
      <c r="F412" s="11">
        <v>53000</v>
      </c>
      <c r="G412" s="14">
        <v>0</v>
      </c>
      <c r="H412" s="3" t="s">
        <v>24</v>
      </c>
      <c r="I412" s="3" t="s">
        <v>29</v>
      </c>
      <c r="J412" s="3" t="str">
        <f>IFERROR(IF(AND(Table1[[#This Row],[Sales]]=0,Table1[[#This Row],[Quantity]]&lt;&gt;0),"Sales Missing",IF(AND(Table1[[#This Row],[Sales]]&lt;&gt;0,Table1[[#This Row],[Quantity]]=0),"Quantity Missing",IF(AND(Table1[[#This Row],[Sales]]=0,Table1[[#This Row],[Quantity]]=0),"Both Missing","Valid Response"))),"No Data")</f>
        <v>Quantity Missing</v>
      </c>
    </row>
    <row r="413" spans="2:10" x14ac:dyDescent="0.25">
      <c r="B413" s="17">
        <v>1408</v>
      </c>
      <c r="C413" s="4">
        <v>45705</v>
      </c>
      <c r="D413" s="3" t="s">
        <v>23</v>
      </c>
      <c r="E413" s="3" t="s">
        <v>19</v>
      </c>
      <c r="F413" s="11">
        <v>21000</v>
      </c>
      <c r="G413" s="14">
        <v>1</v>
      </c>
      <c r="H413" s="3" t="s">
        <v>24</v>
      </c>
      <c r="I413" s="3" t="s">
        <v>53</v>
      </c>
      <c r="J413" s="3" t="str">
        <f>IFERROR(IF(AND(Table1[[#This Row],[Sales]]=0,Table1[[#This Row],[Quantity]]&lt;&gt;0),"Sales Missing",IF(AND(Table1[[#This Row],[Sales]]&lt;&gt;0,Table1[[#This Row],[Quantity]]=0),"Quantity Missing",IF(AND(Table1[[#This Row],[Sales]]=0,Table1[[#This Row],[Quantity]]=0),"Both Missing","Valid Response"))),"No Data")</f>
        <v>Valid Response</v>
      </c>
    </row>
    <row r="414" spans="2:10" x14ac:dyDescent="0.25">
      <c r="B414" s="17">
        <v>1409</v>
      </c>
      <c r="C414" s="4">
        <v>45706</v>
      </c>
      <c r="D414" s="3" t="s">
        <v>23</v>
      </c>
      <c r="E414" s="3" t="s">
        <v>19</v>
      </c>
      <c r="F414" s="11">
        <v>21000</v>
      </c>
      <c r="G414" s="14">
        <v>0</v>
      </c>
      <c r="H414" s="3" t="s">
        <v>15</v>
      </c>
      <c r="I414" s="3" t="s">
        <v>21</v>
      </c>
      <c r="J414" s="3" t="str">
        <f>IFERROR(IF(AND(Table1[[#This Row],[Sales]]=0,Table1[[#This Row],[Quantity]]&lt;&gt;0),"Sales Missing",IF(AND(Table1[[#This Row],[Sales]]&lt;&gt;0,Table1[[#This Row],[Quantity]]=0),"Quantity Missing",IF(AND(Table1[[#This Row],[Sales]]=0,Table1[[#This Row],[Quantity]]=0),"Both Missing","Valid Response"))),"No Data")</f>
        <v>Quantity Missing</v>
      </c>
    </row>
    <row r="415" spans="2:10" x14ac:dyDescent="0.25">
      <c r="B415" s="17">
        <v>1410</v>
      </c>
      <c r="C415" s="4">
        <v>45707</v>
      </c>
      <c r="D415" s="3" t="s">
        <v>33</v>
      </c>
      <c r="E415" s="3" t="s">
        <v>27</v>
      </c>
      <c r="F415" s="11">
        <v>0</v>
      </c>
      <c r="G415" s="14">
        <v>2</v>
      </c>
      <c r="H415" s="3" t="s">
        <v>15</v>
      </c>
      <c r="I415" s="3" t="s">
        <v>53</v>
      </c>
      <c r="J415" s="3" t="str">
        <f>IFERROR(IF(AND(Table1[[#This Row],[Sales]]=0,Table1[[#This Row],[Quantity]]&lt;&gt;0),"Sales Missing",IF(AND(Table1[[#This Row],[Sales]]&lt;&gt;0,Table1[[#This Row],[Quantity]]=0),"Quantity Missing",IF(AND(Table1[[#This Row],[Sales]]=0,Table1[[#This Row],[Quantity]]=0),"Both Missing","Valid Response"))),"No Data")</f>
        <v>Sales Missing</v>
      </c>
    </row>
    <row r="416" spans="2:10" x14ac:dyDescent="0.25">
      <c r="B416" s="17">
        <v>1411</v>
      </c>
      <c r="C416" s="4">
        <v>45708</v>
      </c>
      <c r="D416" s="3" t="s">
        <v>45</v>
      </c>
      <c r="E416" s="3" t="s">
        <v>10</v>
      </c>
      <c r="F416" s="11">
        <v>52000</v>
      </c>
      <c r="G416" s="14">
        <v>0</v>
      </c>
      <c r="H416" s="3" t="s">
        <v>11</v>
      </c>
      <c r="I416" s="3" t="s">
        <v>29</v>
      </c>
      <c r="J416" s="3" t="str">
        <f>IFERROR(IF(AND(Table1[[#This Row],[Sales]]=0,Table1[[#This Row],[Quantity]]&lt;&gt;0),"Sales Missing",IF(AND(Table1[[#This Row],[Sales]]&lt;&gt;0,Table1[[#This Row],[Quantity]]=0),"Quantity Missing",IF(AND(Table1[[#This Row],[Sales]]=0,Table1[[#This Row],[Quantity]]=0),"Both Missing","Valid Response"))),"No Data")</f>
        <v>Quantity Missing</v>
      </c>
    </row>
    <row r="417" spans="2:10" x14ac:dyDescent="0.25">
      <c r="B417" s="17">
        <v>1412</v>
      </c>
      <c r="C417" s="4">
        <v>45709</v>
      </c>
      <c r="D417" s="3" t="s">
        <v>33</v>
      </c>
      <c r="E417" s="3" t="s">
        <v>27</v>
      </c>
      <c r="F417" s="11">
        <v>52000</v>
      </c>
      <c r="G417" s="14">
        <v>2</v>
      </c>
      <c r="H417" s="3" t="s">
        <v>11</v>
      </c>
      <c r="I417" s="3" t="s">
        <v>21</v>
      </c>
      <c r="J417" s="3" t="str">
        <f>IFERROR(IF(AND(Table1[[#This Row],[Sales]]=0,Table1[[#This Row],[Quantity]]&lt;&gt;0),"Sales Missing",IF(AND(Table1[[#This Row],[Sales]]&lt;&gt;0,Table1[[#This Row],[Quantity]]=0),"Quantity Missing",IF(AND(Table1[[#This Row],[Sales]]=0,Table1[[#This Row],[Quantity]]=0),"Both Missing","Valid Response"))),"No Data")</f>
        <v>Valid Response</v>
      </c>
    </row>
    <row r="418" spans="2:10" x14ac:dyDescent="0.25">
      <c r="B418" s="17">
        <v>1413</v>
      </c>
      <c r="C418" s="4">
        <v>45710</v>
      </c>
      <c r="D418" s="3" t="s">
        <v>33</v>
      </c>
      <c r="E418" s="3" t="s">
        <v>10</v>
      </c>
      <c r="F418" s="11">
        <v>55000</v>
      </c>
      <c r="G418" s="14">
        <v>1</v>
      </c>
      <c r="H418" s="3" t="s">
        <v>28</v>
      </c>
      <c r="I418" s="3" t="s">
        <v>53</v>
      </c>
      <c r="J418" s="3" t="str">
        <f>IFERROR(IF(AND(Table1[[#This Row],[Sales]]=0,Table1[[#This Row],[Quantity]]&lt;&gt;0),"Sales Missing",IF(AND(Table1[[#This Row],[Sales]]&lt;&gt;0,Table1[[#This Row],[Quantity]]=0),"Quantity Missing",IF(AND(Table1[[#This Row],[Sales]]=0,Table1[[#This Row],[Quantity]]=0),"Both Missing","Valid Response"))),"No Data")</f>
        <v>Valid Response</v>
      </c>
    </row>
    <row r="419" spans="2:10" x14ac:dyDescent="0.25">
      <c r="B419" s="17">
        <v>1414</v>
      </c>
      <c r="C419" s="4">
        <v>45711</v>
      </c>
      <c r="D419" s="3" t="s">
        <v>23</v>
      </c>
      <c r="E419" s="3" t="s">
        <v>10</v>
      </c>
      <c r="F419" s="11">
        <v>53000</v>
      </c>
      <c r="G419" s="14">
        <v>3</v>
      </c>
      <c r="H419" s="3" t="s">
        <v>24</v>
      </c>
      <c r="I419" s="3" t="s">
        <v>21</v>
      </c>
      <c r="J419" s="3" t="str">
        <f>IFERROR(IF(AND(Table1[[#This Row],[Sales]]=0,Table1[[#This Row],[Quantity]]&lt;&gt;0),"Sales Missing",IF(AND(Table1[[#This Row],[Sales]]&lt;&gt;0,Table1[[#This Row],[Quantity]]=0),"Quantity Missing",IF(AND(Table1[[#This Row],[Sales]]=0,Table1[[#This Row],[Quantity]]=0),"Both Missing","Valid Response"))),"No Data")</f>
        <v>Valid Response</v>
      </c>
    </row>
    <row r="420" spans="2:10" x14ac:dyDescent="0.25">
      <c r="B420" s="17">
        <v>1415</v>
      </c>
      <c r="C420" s="4">
        <v>45712</v>
      </c>
      <c r="D420" s="3" t="s">
        <v>23</v>
      </c>
      <c r="E420" s="3" t="s">
        <v>10</v>
      </c>
      <c r="F420" s="11">
        <v>20000</v>
      </c>
      <c r="G420" s="14">
        <v>1</v>
      </c>
      <c r="H420" s="3" t="s">
        <v>15</v>
      </c>
      <c r="I420" s="3" t="s">
        <v>29</v>
      </c>
      <c r="J420" s="3" t="str">
        <f>IFERROR(IF(AND(Table1[[#This Row],[Sales]]=0,Table1[[#This Row],[Quantity]]&lt;&gt;0),"Sales Missing",IF(AND(Table1[[#This Row],[Sales]]&lt;&gt;0,Table1[[#This Row],[Quantity]]=0),"Quantity Missing",IF(AND(Table1[[#This Row],[Sales]]=0,Table1[[#This Row],[Quantity]]=0),"Both Missing","Valid Response"))),"No Data")</f>
        <v>Valid Response</v>
      </c>
    </row>
    <row r="421" spans="2:10" x14ac:dyDescent="0.25">
      <c r="B421" s="17">
        <v>1416</v>
      </c>
      <c r="C421" s="4">
        <v>45713</v>
      </c>
      <c r="D421" s="3" t="s">
        <v>315</v>
      </c>
      <c r="E421" s="3" t="s">
        <v>10</v>
      </c>
      <c r="F421" s="11">
        <v>52000</v>
      </c>
      <c r="G421" s="14">
        <v>1</v>
      </c>
      <c r="H421" s="3" t="s">
        <v>11</v>
      </c>
      <c r="I421" s="3" t="s">
        <v>21</v>
      </c>
      <c r="J421" s="3" t="str">
        <f>IFERROR(IF(AND(Table1[[#This Row],[Sales]]=0,Table1[[#This Row],[Quantity]]&lt;&gt;0),"Sales Missing",IF(AND(Table1[[#This Row],[Sales]]&lt;&gt;0,Table1[[#This Row],[Quantity]]=0),"Quantity Missing",IF(AND(Table1[[#This Row],[Sales]]=0,Table1[[#This Row],[Quantity]]=0),"Both Missing","Valid Response"))),"No Data")</f>
        <v>Valid Response</v>
      </c>
    </row>
    <row r="422" spans="2:10" x14ac:dyDescent="0.25">
      <c r="B422" s="17">
        <v>1417</v>
      </c>
      <c r="C422" s="4">
        <v>45714</v>
      </c>
      <c r="D422" s="3" t="s">
        <v>45</v>
      </c>
      <c r="E422" s="3" t="s">
        <v>19</v>
      </c>
      <c r="F422" s="11">
        <v>21000</v>
      </c>
      <c r="G422" s="14">
        <v>1</v>
      </c>
      <c r="H422" s="3" t="s">
        <v>28</v>
      </c>
      <c r="I422" s="3" t="s">
        <v>21</v>
      </c>
      <c r="J422" s="3" t="str">
        <f>IFERROR(IF(AND(Table1[[#This Row],[Sales]]=0,Table1[[#This Row],[Quantity]]&lt;&gt;0),"Sales Missing",IF(AND(Table1[[#This Row],[Sales]]&lt;&gt;0,Table1[[#This Row],[Quantity]]=0),"Quantity Missing",IF(AND(Table1[[#This Row],[Sales]]=0,Table1[[#This Row],[Quantity]]=0),"Both Missing","Valid Response"))),"No Data")</f>
        <v>Valid Response</v>
      </c>
    </row>
    <row r="423" spans="2:10" x14ac:dyDescent="0.25">
      <c r="B423" s="17">
        <v>1418</v>
      </c>
      <c r="C423" s="4">
        <v>45715</v>
      </c>
      <c r="D423" s="3" t="s">
        <v>23</v>
      </c>
      <c r="E423" s="3" t="s">
        <v>27</v>
      </c>
      <c r="F423" s="11">
        <v>21000</v>
      </c>
      <c r="G423" s="14">
        <v>1</v>
      </c>
      <c r="H423" s="3" t="s">
        <v>11</v>
      </c>
      <c r="I423" s="3" t="s">
        <v>21</v>
      </c>
      <c r="J423" s="3" t="str">
        <f>IFERROR(IF(AND(Table1[[#This Row],[Sales]]=0,Table1[[#This Row],[Quantity]]&lt;&gt;0),"Sales Missing",IF(AND(Table1[[#This Row],[Sales]]&lt;&gt;0,Table1[[#This Row],[Quantity]]=0),"Quantity Missing",IF(AND(Table1[[#This Row],[Sales]]=0,Table1[[#This Row],[Quantity]]=0),"Both Missing","Valid Response"))),"No Data")</f>
        <v>Valid Response</v>
      </c>
    </row>
    <row r="424" spans="2:10" x14ac:dyDescent="0.25">
      <c r="B424" s="17">
        <v>1419</v>
      </c>
      <c r="C424" s="4">
        <v>45716</v>
      </c>
      <c r="D424" s="3" t="s">
        <v>315</v>
      </c>
      <c r="E424" s="3" t="s">
        <v>19</v>
      </c>
      <c r="F424" s="11">
        <v>0</v>
      </c>
      <c r="G424" s="14">
        <v>0</v>
      </c>
      <c r="H424" s="3" t="s">
        <v>38</v>
      </c>
      <c r="I424" s="3" t="s">
        <v>21</v>
      </c>
      <c r="J424" s="3" t="str">
        <f>IFERROR(IF(AND(Table1[[#This Row],[Sales]]=0,Table1[[#This Row],[Quantity]]&lt;&gt;0),"Sales Missing",IF(AND(Table1[[#This Row],[Sales]]&lt;&gt;0,Table1[[#This Row],[Quantity]]=0),"Quantity Missing",IF(AND(Table1[[#This Row],[Sales]]=0,Table1[[#This Row],[Quantity]]=0),"Both Missing","Valid Response"))),"No Data")</f>
        <v>Both Missing</v>
      </c>
    </row>
    <row r="425" spans="2:10" x14ac:dyDescent="0.25">
      <c r="B425" s="17">
        <v>1420</v>
      </c>
      <c r="C425" s="4">
        <v>45717</v>
      </c>
      <c r="D425" s="3" t="s">
        <v>33</v>
      </c>
      <c r="E425" s="3" t="s">
        <v>19</v>
      </c>
      <c r="F425" s="11">
        <v>21000</v>
      </c>
      <c r="G425" s="14">
        <v>0</v>
      </c>
      <c r="H425" s="3" t="s">
        <v>28</v>
      </c>
      <c r="I425" s="3" t="s">
        <v>31</v>
      </c>
      <c r="J425" s="3" t="str">
        <f>IFERROR(IF(AND(Table1[[#This Row],[Sales]]=0,Table1[[#This Row],[Quantity]]&lt;&gt;0),"Sales Missing",IF(AND(Table1[[#This Row],[Sales]]&lt;&gt;0,Table1[[#This Row],[Quantity]]=0),"Quantity Missing",IF(AND(Table1[[#This Row],[Sales]]=0,Table1[[#This Row],[Quantity]]=0),"Both Missing","Valid Response"))),"No Data")</f>
        <v>Quantity Missing</v>
      </c>
    </row>
    <row r="426" spans="2:10" x14ac:dyDescent="0.25">
      <c r="B426" s="17">
        <v>1421</v>
      </c>
      <c r="C426" s="4">
        <v>45718</v>
      </c>
      <c r="D426" s="3" t="s">
        <v>314</v>
      </c>
      <c r="E426" s="3" t="s">
        <v>27</v>
      </c>
      <c r="F426" s="11">
        <v>52000</v>
      </c>
      <c r="G426" s="14">
        <v>3</v>
      </c>
      <c r="H426" s="3" t="s">
        <v>20</v>
      </c>
      <c r="I426" s="3" t="s">
        <v>21</v>
      </c>
      <c r="J426" s="3" t="str">
        <f>IFERROR(IF(AND(Table1[[#This Row],[Sales]]=0,Table1[[#This Row],[Quantity]]&lt;&gt;0),"Sales Missing",IF(AND(Table1[[#This Row],[Sales]]&lt;&gt;0,Table1[[#This Row],[Quantity]]=0),"Quantity Missing",IF(AND(Table1[[#This Row],[Sales]]=0,Table1[[#This Row],[Quantity]]=0),"Both Missing","Valid Response"))),"No Data")</f>
        <v>Valid Response</v>
      </c>
    </row>
    <row r="427" spans="2:10" x14ac:dyDescent="0.25">
      <c r="B427" s="17">
        <v>1422</v>
      </c>
      <c r="C427" s="4">
        <v>45719</v>
      </c>
      <c r="D427" s="3" t="s">
        <v>315</v>
      </c>
      <c r="E427" s="3" t="s">
        <v>27</v>
      </c>
      <c r="F427" s="11">
        <v>55000</v>
      </c>
      <c r="G427" s="14">
        <v>2</v>
      </c>
      <c r="H427" s="3" t="s">
        <v>11</v>
      </c>
      <c r="I427" s="3" t="s">
        <v>31</v>
      </c>
      <c r="J427" s="3" t="str">
        <f>IFERROR(IF(AND(Table1[[#This Row],[Sales]]=0,Table1[[#This Row],[Quantity]]&lt;&gt;0),"Sales Missing",IF(AND(Table1[[#This Row],[Sales]]&lt;&gt;0,Table1[[#This Row],[Quantity]]=0),"Quantity Missing",IF(AND(Table1[[#This Row],[Sales]]=0,Table1[[#This Row],[Quantity]]=0),"Both Missing","Valid Response"))),"No Data")</f>
        <v>Valid Response</v>
      </c>
    </row>
    <row r="428" spans="2:10" x14ac:dyDescent="0.25">
      <c r="B428" s="17">
        <v>1423</v>
      </c>
      <c r="C428" s="4">
        <v>45720</v>
      </c>
      <c r="D428" s="3" t="s">
        <v>33</v>
      </c>
      <c r="E428" s="3" t="s">
        <v>19</v>
      </c>
      <c r="F428" s="11">
        <v>52000</v>
      </c>
      <c r="G428" s="14">
        <v>1</v>
      </c>
      <c r="H428" s="3" t="s">
        <v>28</v>
      </c>
      <c r="I428" s="3" t="s">
        <v>29</v>
      </c>
      <c r="J428" s="3" t="str">
        <f>IFERROR(IF(AND(Table1[[#This Row],[Sales]]=0,Table1[[#This Row],[Quantity]]&lt;&gt;0),"Sales Missing",IF(AND(Table1[[#This Row],[Sales]]&lt;&gt;0,Table1[[#This Row],[Quantity]]=0),"Quantity Missing",IF(AND(Table1[[#This Row],[Sales]]=0,Table1[[#This Row],[Quantity]]=0),"Both Missing","Valid Response"))),"No Data")</f>
        <v>Valid Response</v>
      </c>
    </row>
    <row r="429" spans="2:10" x14ac:dyDescent="0.25">
      <c r="B429" s="17">
        <v>1424</v>
      </c>
      <c r="C429" s="4">
        <v>45721</v>
      </c>
      <c r="D429" s="3" t="s">
        <v>33</v>
      </c>
      <c r="E429" s="3" t="s">
        <v>27</v>
      </c>
      <c r="F429" s="11">
        <v>20000</v>
      </c>
      <c r="G429" s="14">
        <v>1</v>
      </c>
      <c r="H429" s="3" t="s">
        <v>15</v>
      </c>
      <c r="I429" s="3" t="s">
        <v>21</v>
      </c>
      <c r="J429" s="3" t="str">
        <f>IFERROR(IF(AND(Table1[[#This Row],[Sales]]=0,Table1[[#This Row],[Quantity]]&lt;&gt;0),"Sales Missing",IF(AND(Table1[[#This Row],[Sales]]&lt;&gt;0,Table1[[#This Row],[Quantity]]=0),"Quantity Missing",IF(AND(Table1[[#This Row],[Sales]]=0,Table1[[#This Row],[Quantity]]=0),"Both Missing","Valid Response"))),"No Data")</f>
        <v>Valid Response</v>
      </c>
    </row>
    <row r="430" spans="2:10" x14ac:dyDescent="0.25">
      <c r="B430" s="17">
        <v>1425</v>
      </c>
      <c r="C430" s="4">
        <v>45722</v>
      </c>
      <c r="D430" s="3" t="s">
        <v>33</v>
      </c>
      <c r="E430" s="3" t="s">
        <v>19</v>
      </c>
      <c r="F430" s="11">
        <v>21000</v>
      </c>
      <c r="G430" s="14">
        <v>2</v>
      </c>
      <c r="H430" s="3" t="s">
        <v>20</v>
      </c>
      <c r="I430" s="3" t="s">
        <v>21</v>
      </c>
      <c r="J430" s="3" t="str">
        <f>IFERROR(IF(AND(Table1[[#This Row],[Sales]]=0,Table1[[#This Row],[Quantity]]&lt;&gt;0),"Sales Missing",IF(AND(Table1[[#This Row],[Sales]]&lt;&gt;0,Table1[[#This Row],[Quantity]]=0),"Quantity Missing",IF(AND(Table1[[#This Row],[Sales]]=0,Table1[[#This Row],[Quantity]]=0),"Both Missing","Valid Response"))),"No Data")</f>
        <v>Valid Response</v>
      </c>
    </row>
    <row r="431" spans="2:10" x14ac:dyDescent="0.25">
      <c r="B431" s="17">
        <v>1426</v>
      </c>
      <c r="C431" s="4">
        <v>45723</v>
      </c>
      <c r="D431" s="3" t="s">
        <v>23</v>
      </c>
      <c r="E431" s="3" t="s">
        <v>27</v>
      </c>
      <c r="F431" s="11">
        <v>0</v>
      </c>
      <c r="G431" s="14">
        <v>0</v>
      </c>
      <c r="H431" s="3" t="s">
        <v>38</v>
      </c>
      <c r="I431" s="3" t="s">
        <v>53</v>
      </c>
      <c r="J431" s="3" t="str">
        <f>IFERROR(IF(AND(Table1[[#This Row],[Sales]]=0,Table1[[#This Row],[Quantity]]&lt;&gt;0),"Sales Missing",IF(AND(Table1[[#This Row],[Sales]]&lt;&gt;0,Table1[[#This Row],[Quantity]]=0),"Quantity Missing",IF(AND(Table1[[#This Row],[Sales]]=0,Table1[[#This Row],[Quantity]]=0),"Both Missing","Valid Response"))),"No Data")</f>
        <v>Both Missing</v>
      </c>
    </row>
    <row r="432" spans="2:10" x14ac:dyDescent="0.25">
      <c r="B432" s="17">
        <v>1427</v>
      </c>
      <c r="C432" s="4">
        <v>45724</v>
      </c>
      <c r="D432" s="3" t="s">
        <v>314</v>
      </c>
      <c r="E432" s="3" t="s">
        <v>27</v>
      </c>
      <c r="F432" s="11">
        <v>48000</v>
      </c>
      <c r="G432" s="14">
        <v>2</v>
      </c>
      <c r="H432" s="3" t="s">
        <v>11</v>
      </c>
      <c r="I432" s="3" t="s">
        <v>53</v>
      </c>
      <c r="J432" s="3" t="str">
        <f>IFERROR(IF(AND(Table1[[#This Row],[Sales]]=0,Table1[[#This Row],[Quantity]]&lt;&gt;0),"Sales Missing",IF(AND(Table1[[#This Row],[Sales]]&lt;&gt;0,Table1[[#This Row],[Quantity]]=0),"Quantity Missing",IF(AND(Table1[[#This Row],[Sales]]=0,Table1[[#This Row],[Quantity]]=0),"Both Missing","Valid Response"))),"No Data")</f>
        <v>Valid Response</v>
      </c>
    </row>
    <row r="433" spans="2:10" x14ac:dyDescent="0.25">
      <c r="B433" s="17">
        <v>1428</v>
      </c>
      <c r="C433" s="4">
        <v>45725</v>
      </c>
      <c r="D433" s="3" t="s">
        <v>314</v>
      </c>
      <c r="E433" s="3" t="s">
        <v>10</v>
      </c>
      <c r="F433" s="11">
        <v>21000</v>
      </c>
      <c r="G433" s="14">
        <v>2</v>
      </c>
      <c r="H433" s="3" t="s">
        <v>20</v>
      </c>
      <c r="I433" s="3" t="s">
        <v>53</v>
      </c>
      <c r="J433" s="3" t="str">
        <f>IFERROR(IF(AND(Table1[[#This Row],[Sales]]=0,Table1[[#This Row],[Quantity]]&lt;&gt;0),"Sales Missing",IF(AND(Table1[[#This Row],[Sales]]&lt;&gt;0,Table1[[#This Row],[Quantity]]=0),"Quantity Missing",IF(AND(Table1[[#This Row],[Sales]]=0,Table1[[#This Row],[Quantity]]=0),"Both Missing","Valid Response"))),"No Data")</f>
        <v>Valid Response</v>
      </c>
    </row>
    <row r="434" spans="2:10" x14ac:dyDescent="0.25">
      <c r="B434" s="17">
        <v>1429</v>
      </c>
      <c r="C434" s="4">
        <v>45726</v>
      </c>
      <c r="D434" s="3" t="s">
        <v>33</v>
      </c>
      <c r="E434" s="3" t="s">
        <v>27</v>
      </c>
      <c r="F434" s="11">
        <v>53000</v>
      </c>
      <c r="G434" s="14">
        <v>0</v>
      </c>
      <c r="H434" s="3" t="s">
        <v>38</v>
      </c>
      <c r="I434" s="3" t="s">
        <v>29</v>
      </c>
      <c r="J434" s="3" t="str">
        <f>IFERROR(IF(AND(Table1[[#This Row],[Sales]]=0,Table1[[#This Row],[Quantity]]&lt;&gt;0),"Sales Missing",IF(AND(Table1[[#This Row],[Sales]]&lt;&gt;0,Table1[[#This Row],[Quantity]]=0),"Quantity Missing",IF(AND(Table1[[#This Row],[Sales]]=0,Table1[[#This Row],[Quantity]]=0),"Both Missing","Valid Response"))),"No Data")</f>
        <v>Quantity Missing</v>
      </c>
    </row>
    <row r="435" spans="2:10" x14ac:dyDescent="0.25">
      <c r="B435" s="17">
        <v>1430</v>
      </c>
      <c r="C435" s="4">
        <v>45727</v>
      </c>
      <c r="D435" s="3" t="s">
        <v>45</v>
      </c>
      <c r="E435" s="3" t="s">
        <v>19</v>
      </c>
      <c r="F435" s="11">
        <v>55000</v>
      </c>
      <c r="G435" s="14">
        <v>0</v>
      </c>
      <c r="H435" s="3" t="s">
        <v>34</v>
      </c>
      <c r="I435" s="3" t="s">
        <v>21</v>
      </c>
      <c r="J435" s="3" t="str">
        <f>IFERROR(IF(AND(Table1[[#This Row],[Sales]]=0,Table1[[#This Row],[Quantity]]&lt;&gt;0),"Sales Missing",IF(AND(Table1[[#This Row],[Sales]]&lt;&gt;0,Table1[[#This Row],[Quantity]]=0),"Quantity Missing",IF(AND(Table1[[#This Row],[Sales]]=0,Table1[[#This Row],[Quantity]]=0),"Both Missing","Valid Response"))),"No Data")</f>
        <v>Quantity Missing</v>
      </c>
    </row>
    <row r="436" spans="2:10" x14ac:dyDescent="0.25">
      <c r="B436" s="17">
        <v>1431</v>
      </c>
      <c r="C436" s="4">
        <v>45728</v>
      </c>
      <c r="D436" s="3" t="s">
        <v>23</v>
      </c>
      <c r="E436" s="3" t="s">
        <v>27</v>
      </c>
      <c r="F436" s="11">
        <v>20000</v>
      </c>
      <c r="G436" s="14">
        <v>0</v>
      </c>
      <c r="H436" s="3" t="s">
        <v>38</v>
      </c>
      <c r="I436" s="3" t="s">
        <v>31</v>
      </c>
      <c r="J436" s="3" t="str">
        <f>IFERROR(IF(AND(Table1[[#This Row],[Sales]]=0,Table1[[#This Row],[Quantity]]&lt;&gt;0),"Sales Missing",IF(AND(Table1[[#This Row],[Sales]]&lt;&gt;0,Table1[[#This Row],[Quantity]]=0),"Quantity Missing",IF(AND(Table1[[#This Row],[Sales]]=0,Table1[[#This Row],[Quantity]]=0),"Both Missing","Valid Response"))),"No Data")</f>
        <v>Quantity Missing</v>
      </c>
    </row>
    <row r="437" spans="2:10" x14ac:dyDescent="0.25">
      <c r="B437" s="17">
        <v>1432</v>
      </c>
      <c r="C437" s="4">
        <v>45729</v>
      </c>
      <c r="D437" s="3" t="s">
        <v>315</v>
      </c>
      <c r="E437" s="3" t="s">
        <v>19</v>
      </c>
      <c r="F437" s="11">
        <v>15000</v>
      </c>
      <c r="G437" s="14">
        <v>3</v>
      </c>
      <c r="H437" s="3" t="s">
        <v>34</v>
      </c>
      <c r="I437" s="3" t="s">
        <v>53</v>
      </c>
      <c r="J437" s="3" t="str">
        <f>IFERROR(IF(AND(Table1[[#This Row],[Sales]]=0,Table1[[#This Row],[Quantity]]&lt;&gt;0),"Sales Missing",IF(AND(Table1[[#This Row],[Sales]]&lt;&gt;0,Table1[[#This Row],[Quantity]]=0),"Quantity Missing",IF(AND(Table1[[#This Row],[Sales]]=0,Table1[[#This Row],[Quantity]]=0),"Both Missing","Valid Response"))),"No Data")</f>
        <v>Valid Response</v>
      </c>
    </row>
    <row r="438" spans="2:10" x14ac:dyDescent="0.25">
      <c r="B438" s="17">
        <v>1433</v>
      </c>
      <c r="C438" s="4">
        <v>45730</v>
      </c>
      <c r="D438" s="3" t="s">
        <v>314</v>
      </c>
      <c r="E438" s="3" t="s">
        <v>19</v>
      </c>
      <c r="F438" s="11">
        <v>21000</v>
      </c>
      <c r="G438" s="14">
        <v>2</v>
      </c>
      <c r="H438" s="3" t="s">
        <v>11</v>
      </c>
      <c r="I438" s="3" t="s">
        <v>21</v>
      </c>
      <c r="J438" s="3" t="str">
        <f>IFERROR(IF(AND(Table1[[#This Row],[Sales]]=0,Table1[[#This Row],[Quantity]]&lt;&gt;0),"Sales Missing",IF(AND(Table1[[#This Row],[Sales]]&lt;&gt;0,Table1[[#This Row],[Quantity]]=0),"Quantity Missing",IF(AND(Table1[[#This Row],[Sales]]=0,Table1[[#This Row],[Quantity]]=0),"Both Missing","Valid Response"))),"No Data")</f>
        <v>Valid Response</v>
      </c>
    </row>
    <row r="439" spans="2:10" x14ac:dyDescent="0.25">
      <c r="B439" s="17">
        <v>1434</v>
      </c>
      <c r="C439" s="4">
        <v>45731</v>
      </c>
      <c r="D439" s="3" t="s">
        <v>315</v>
      </c>
      <c r="E439" s="3" t="s">
        <v>10</v>
      </c>
      <c r="F439" s="11">
        <v>52000</v>
      </c>
      <c r="G439" s="14">
        <v>2</v>
      </c>
      <c r="H439" s="3" t="s">
        <v>34</v>
      </c>
      <c r="I439" s="3" t="s">
        <v>29</v>
      </c>
      <c r="J439" s="3" t="str">
        <f>IFERROR(IF(AND(Table1[[#This Row],[Sales]]=0,Table1[[#This Row],[Quantity]]&lt;&gt;0),"Sales Missing",IF(AND(Table1[[#This Row],[Sales]]&lt;&gt;0,Table1[[#This Row],[Quantity]]=0),"Quantity Missing",IF(AND(Table1[[#This Row],[Sales]]=0,Table1[[#This Row],[Quantity]]=0),"Both Missing","Valid Response"))),"No Data")</f>
        <v>Valid Response</v>
      </c>
    </row>
    <row r="440" spans="2:10" x14ac:dyDescent="0.25">
      <c r="B440" s="17">
        <v>1435</v>
      </c>
      <c r="C440" s="4">
        <v>45732</v>
      </c>
      <c r="D440" s="3" t="s">
        <v>315</v>
      </c>
      <c r="E440" s="3" t="s">
        <v>27</v>
      </c>
      <c r="F440" s="11">
        <v>20000</v>
      </c>
      <c r="G440" s="14">
        <v>3</v>
      </c>
      <c r="H440" s="3" t="s">
        <v>38</v>
      </c>
      <c r="I440" s="3" t="s">
        <v>53</v>
      </c>
      <c r="J440" s="3" t="str">
        <f>IFERROR(IF(AND(Table1[[#This Row],[Sales]]=0,Table1[[#This Row],[Quantity]]&lt;&gt;0),"Sales Missing",IF(AND(Table1[[#This Row],[Sales]]&lt;&gt;0,Table1[[#This Row],[Quantity]]=0),"Quantity Missing",IF(AND(Table1[[#This Row],[Sales]]=0,Table1[[#This Row],[Quantity]]=0),"Both Missing","Valid Response"))),"No Data")</f>
        <v>Valid Response</v>
      </c>
    </row>
    <row r="441" spans="2:10" x14ac:dyDescent="0.25">
      <c r="B441" s="17">
        <v>1436</v>
      </c>
      <c r="C441" s="4">
        <v>45733</v>
      </c>
      <c r="D441" s="3" t="s">
        <v>45</v>
      </c>
      <c r="E441" s="3" t="s">
        <v>19</v>
      </c>
      <c r="F441" s="11">
        <v>15000</v>
      </c>
      <c r="G441" s="14">
        <v>3</v>
      </c>
      <c r="H441" s="3" t="s">
        <v>11</v>
      </c>
      <c r="I441" s="3" t="s">
        <v>21</v>
      </c>
      <c r="J441" s="3" t="str">
        <f>IFERROR(IF(AND(Table1[[#This Row],[Sales]]=0,Table1[[#This Row],[Quantity]]&lt;&gt;0),"Sales Missing",IF(AND(Table1[[#This Row],[Sales]]&lt;&gt;0,Table1[[#This Row],[Quantity]]=0),"Quantity Missing",IF(AND(Table1[[#This Row],[Sales]]=0,Table1[[#This Row],[Quantity]]=0),"Both Missing","Valid Response"))),"No Data")</f>
        <v>Valid Response</v>
      </c>
    </row>
    <row r="442" spans="2:10" x14ac:dyDescent="0.25">
      <c r="B442" s="17">
        <v>1437</v>
      </c>
      <c r="C442" s="4">
        <v>45734</v>
      </c>
      <c r="D442" s="3" t="s">
        <v>23</v>
      </c>
      <c r="E442" s="3" t="s">
        <v>27</v>
      </c>
      <c r="F442" s="11">
        <v>21000</v>
      </c>
      <c r="G442" s="14">
        <v>3</v>
      </c>
      <c r="H442" s="3" t="s">
        <v>34</v>
      </c>
      <c r="I442" s="3" t="s">
        <v>53</v>
      </c>
      <c r="J442" s="3" t="str">
        <f>IFERROR(IF(AND(Table1[[#This Row],[Sales]]=0,Table1[[#This Row],[Quantity]]&lt;&gt;0),"Sales Missing",IF(AND(Table1[[#This Row],[Sales]]&lt;&gt;0,Table1[[#This Row],[Quantity]]=0),"Quantity Missing",IF(AND(Table1[[#This Row],[Sales]]=0,Table1[[#This Row],[Quantity]]=0),"Both Missing","Valid Response"))),"No Data")</f>
        <v>Valid Response</v>
      </c>
    </row>
    <row r="443" spans="2:10" x14ac:dyDescent="0.25">
      <c r="B443" s="17">
        <v>1438</v>
      </c>
      <c r="C443" s="4">
        <v>45735</v>
      </c>
      <c r="D443" s="3" t="s">
        <v>33</v>
      </c>
      <c r="E443" s="3" t="s">
        <v>19</v>
      </c>
      <c r="F443" s="11">
        <v>0</v>
      </c>
      <c r="G443" s="14">
        <v>2</v>
      </c>
      <c r="H443" s="3" t="s">
        <v>24</v>
      </c>
      <c r="I443" s="3" t="s">
        <v>31</v>
      </c>
      <c r="J443" s="3" t="str">
        <f>IFERROR(IF(AND(Table1[[#This Row],[Sales]]=0,Table1[[#This Row],[Quantity]]&lt;&gt;0),"Sales Missing",IF(AND(Table1[[#This Row],[Sales]]&lt;&gt;0,Table1[[#This Row],[Quantity]]=0),"Quantity Missing",IF(AND(Table1[[#This Row],[Sales]]=0,Table1[[#This Row],[Quantity]]=0),"Both Missing","Valid Response"))),"No Data")</f>
        <v>Sales Missing</v>
      </c>
    </row>
    <row r="444" spans="2:10" x14ac:dyDescent="0.25">
      <c r="B444" s="17">
        <v>1439</v>
      </c>
      <c r="C444" s="4">
        <v>45736</v>
      </c>
      <c r="D444" s="3" t="s">
        <v>314</v>
      </c>
      <c r="E444" s="3" t="s">
        <v>27</v>
      </c>
      <c r="F444" s="11">
        <v>0</v>
      </c>
      <c r="G444" s="14">
        <v>0</v>
      </c>
      <c r="H444" s="3" t="s">
        <v>28</v>
      </c>
      <c r="I444" s="3" t="s">
        <v>29</v>
      </c>
      <c r="J444" s="3" t="str">
        <f>IFERROR(IF(AND(Table1[[#This Row],[Sales]]=0,Table1[[#This Row],[Quantity]]&lt;&gt;0),"Sales Missing",IF(AND(Table1[[#This Row],[Sales]]&lt;&gt;0,Table1[[#This Row],[Quantity]]=0),"Quantity Missing",IF(AND(Table1[[#This Row],[Sales]]=0,Table1[[#This Row],[Quantity]]=0),"Both Missing","Valid Response"))),"No Data")</f>
        <v>Both Missing</v>
      </c>
    </row>
    <row r="445" spans="2:10" x14ac:dyDescent="0.25">
      <c r="B445" s="17">
        <v>1440</v>
      </c>
      <c r="C445" s="4">
        <v>45737</v>
      </c>
      <c r="D445" s="3" t="s">
        <v>314</v>
      </c>
      <c r="E445" s="3" t="s">
        <v>27</v>
      </c>
      <c r="F445" s="11">
        <v>0</v>
      </c>
      <c r="G445" s="14">
        <v>0</v>
      </c>
      <c r="H445" s="3" t="s">
        <v>24</v>
      </c>
      <c r="I445" s="3" t="s">
        <v>53</v>
      </c>
      <c r="J445" s="3" t="str">
        <f>IFERROR(IF(AND(Table1[[#This Row],[Sales]]=0,Table1[[#This Row],[Quantity]]&lt;&gt;0),"Sales Missing",IF(AND(Table1[[#This Row],[Sales]]&lt;&gt;0,Table1[[#This Row],[Quantity]]=0),"Quantity Missing",IF(AND(Table1[[#This Row],[Sales]]=0,Table1[[#This Row],[Quantity]]=0),"Both Missing","Valid Response"))),"No Data")</f>
        <v>Both Missing</v>
      </c>
    </row>
    <row r="446" spans="2:10" x14ac:dyDescent="0.25">
      <c r="B446" s="17">
        <v>1441</v>
      </c>
      <c r="C446" s="4">
        <v>45738</v>
      </c>
      <c r="D446" s="3" t="s">
        <v>33</v>
      </c>
      <c r="E446" s="3" t="s">
        <v>19</v>
      </c>
      <c r="F446" s="11">
        <v>53000</v>
      </c>
      <c r="G446" s="14">
        <v>2</v>
      </c>
      <c r="H446" s="3" t="s">
        <v>15</v>
      </c>
      <c r="I446" s="3" t="s">
        <v>21</v>
      </c>
      <c r="J446" s="3" t="str">
        <f>IFERROR(IF(AND(Table1[[#This Row],[Sales]]=0,Table1[[#This Row],[Quantity]]&lt;&gt;0),"Sales Missing",IF(AND(Table1[[#This Row],[Sales]]&lt;&gt;0,Table1[[#This Row],[Quantity]]=0),"Quantity Missing",IF(AND(Table1[[#This Row],[Sales]]=0,Table1[[#This Row],[Quantity]]=0),"Both Missing","Valid Response"))),"No Data")</f>
        <v>Valid Response</v>
      </c>
    </row>
    <row r="447" spans="2:10" x14ac:dyDescent="0.25">
      <c r="B447" s="17">
        <v>1442</v>
      </c>
      <c r="C447" s="4">
        <v>45739</v>
      </c>
      <c r="D447" s="3" t="s">
        <v>315</v>
      </c>
      <c r="E447" s="3" t="s">
        <v>10</v>
      </c>
      <c r="F447" s="11">
        <v>55000</v>
      </c>
      <c r="G447" s="14">
        <v>1</v>
      </c>
      <c r="H447" s="3" t="s">
        <v>46</v>
      </c>
      <c r="I447" s="3" t="s">
        <v>21</v>
      </c>
      <c r="J447" s="3" t="str">
        <f>IFERROR(IF(AND(Table1[[#This Row],[Sales]]=0,Table1[[#This Row],[Quantity]]&lt;&gt;0),"Sales Missing",IF(AND(Table1[[#This Row],[Sales]]&lt;&gt;0,Table1[[#This Row],[Quantity]]=0),"Quantity Missing",IF(AND(Table1[[#This Row],[Sales]]=0,Table1[[#This Row],[Quantity]]=0),"Both Missing","Valid Response"))),"No Data")</f>
        <v>Valid Response</v>
      </c>
    </row>
    <row r="448" spans="2:10" x14ac:dyDescent="0.25">
      <c r="B448" s="17">
        <v>1443</v>
      </c>
      <c r="C448" s="4">
        <v>45740</v>
      </c>
      <c r="D448" s="3" t="s">
        <v>314</v>
      </c>
      <c r="E448" s="3" t="s">
        <v>10</v>
      </c>
      <c r="F448" s="11">
        <v>52000</v>
      </c>
      <c r="G448" s="14">
        <v>1</v>
      </c>
      <c r="H448" s="3" t="s">
        <v>38</v>
      </c>
      <c r="I448" s="3" t="s">
        <v>31</v>
      </c>
      <c r="J448" s="3" t="str">
        <f>IFERROR(IF(AND(Table1[[#This Row],[Sales]]=0,Table1[[#This Row],[Quantity]]&lt;&gt;0),"Sales Missing",IF(AND(Table1[[#This Row],[Sales]]&lt;&gt;0,Table1[[#This Row],[Quantity]]=0),"Quantity Missing",IF(AND(Table1[[#This Row],[Sales]]=0,Table1[[#This Row],[Quantity]]=0),"Both Missing","Valid Response"))),"No Data")</f>
        <v>Valid Response</v>
      </c>
    </row>
    <row r="449" spans="2:10" x14ac:dyDescent="0.25">
      <c r="B449" s="17">
        <v>1444</v>
      </c>
      <c r="C449" s="4">
        <v>45741</v>
      </c>
      <c r="D449" s="3" t="s">
        <v>314</v>
      </c>
      <c r="E449" s="3" t="s">
        <v>19</v>
      </c>
      <c r="F449" s="11">
        <v>53000</v>
      </c>
      <c r="G449" s="14">
        <v>2</v>
      </c>
      <c r="H449" s="3" t="s">
        <v>20</v>
      </c>
      <c r="I449" s="3" t="s">
        <v>53</v>
      </c>
      <c r="J449" s="3" t="str">
        <f>IFERROR(IF(AND(Table1[[#This Row],[Sales]]=0,Table1[[#This Row],[Quantity]]&lt;&gt;0),"Sales Missing",IF(AND(Table1[[#This Row],[Sales]]&lt;&gt;0,Table1[[#This Row],[Quantity]]=0),"Quantity Missing",IF(AND(Table1[[#This Row],[Sales]]=0,Table1[[#This Row],[Quantity]]=0),"Both Missing","Valid Response"))),"No Data")</f>
        <v>Valid Response</v>
      </c>
    </row>
    <row r="450" spans="2:10" x14ac:dyDescent="0.25">
      <c r="B450" s="17">
        <v>1445</v>
      </c>
      <c r="C450" s="4">
        <v>45742</v>
      </c>
      <c r="D450" s="3" t="s">
        <v>23</v>
      </c>
      <c r="E450" s="3" t="s">
        <v>19</v>
      </c>
      <c r="F450" s="11">
        <v>48000</v>
      </c>
      <c r="G450" s="14">
        <v>0</v>
      </c>
      <c r="H450" s="3" t="s">
        <v>34</v>
      </c>
      <c r="I450" s="3" t="s">
        <v>53</v>
      </c>
      <c r="J450" s="3" t="str">
        <f>IFERROR(IF(AND(Table1[[#This Row],[Sales]]=0,Table1[[#This Row],[Quantity]]&lt;&gt;0),"Sales Missing",IF(AND(Table1[[#This Row],[Sales]]&lt;&gt;0,Table1[[#This Row],[Quantity]]=0),"Quantity Missing",IF(AND(Table1[[#This Row],[Sales]]=0,Table1[[#This Row],[Quantity]]=0),"Both Missing","Valid Response"))),"No Data")</f>
        <v>Quantity Missing</v>
      </c>
    </row>
    <row r="451" spans="2:10" x14ac:dyDescent="0.25">
      <c r="B451" s="17">
        <v>1446</v>
      </c>
      <c r="C451" s="4">
        <v>45743</v>
      </c>
      <c r="D451" s="3" t="s">
        <v>23</v>
      </c>
      <c r="E451" s="3" t="s">
        <v>19</v>
      </c>
      <c r="F451" s="11">
        <v>48000</v>
      </c>
      <c r="G451" s="14">
        <v>3</v>
      </c>
      <c r="H451" s="3" t="s">
        <v>15</v>
      </c>
      <c r="I451" s="3" t="s">
        <v>53</v>
      </c>
      <c r="J451" s="3" t="str">
        <f>IFERROR(IF(AND(Table1[[#This Row],[Sales]]=0,Table1[[#This Row],[Quantity]]&lt;&gt;0),"Sales Missing",IF(AND(Table1[[#This Row],[Sales]]&lt;&gt;0,Table1[[#This Row],[Quantity]]=0),"Quantity Missing",IF(AND(Table1[[#This Row],[Sales]]=0,Table1[[#This Row],[Quantity]]=0),"Both Missing","Valid Response"))),"No Data")</f>
        <v>Valid Response</v>
      </c>
    </row>
    <row r="452" spans="2:10" x14ac:dyDescent="0.25">
      <c r="B452" s="17">
        <v>1447</v>
      </c>
      <c r="C452" s="4">
        <v>45744</v>
      </c>
      <c r="D452" s="3" t="s">
        <v>314</v>
      </c>
      <c r="E452" s="3" t="s">
        <v>27</v>
      </c>
      <c r="F452" s="11">
        <v>55000</v>
      </c>
      <c r="G452" s="14">
        <v>1</v>
      </c>
      <c r="H452" s="3" t="s">
        <v>28</v>
      </c>
      <c r="I452" s="3" t="s">
        <v>53</v>
      </c>
      <c r="J452" s="3" t="str">
        <f>IFERROR(IF(AND(Table1[[#This Row],[Sales]]=0,Table1[[#This Row],[Quantity]]&lt;&gt;0),"Sales Missing",IF(AND(Table1[[#This Row],[Sales]]&lt;&gt;0,Table1[[#This Row],[Quantity]]=0),"Quantity Missing",IF(AND(Table1[[#This Row],[Sales]]=0,Table1[[#This Row],[Quantity]]=0),"Both Missing","Valid Response"))),"No Data")</f>
        <v>Valid Response</v>
      </c>
    </row>
    <row r="453" spans="2:10" x14ac:dyDescent="0.25">
      <c r="B453" s="17">
        <v>1448</v>
      </c>
      <c r="C453" s="4">
        <v>45745</v>
      </c>
      <c r="D453" s="3" t="s">
        <v>45</v>
      </c>
      <c r="E453" s="3" t="s">
        <v>19</v>
      </c>
      <c r="F453" s="11">
        <v>55000</v>
      </c>
      <c r="G453" s="14">
        <v>1</v>
      </c>
      <c r="H453" s="3" t="s">
        <v>46</v>
      </c>
      <c r="I453" s="3" t="s">
        <v>53</v>
      </c>
      <c r="J453" s="3" t="str">
        <f>IFERROR(IF(AND(Table1[[#This Row],[Sales]]=0,Table1[[#This Row],[Quantity]]&lt;&gt;0),"Sales Missing",IF(AND(Table1[[#This Row],[Sales]]&lt;&gt;0,Table1[[#This Row],[Quantity]]=0),"Quantity Missing",IF(AND(Table1[[#This Row],[Sales]]=0,Table1[[#This Row],[Quantity]]=0),"Both Missing","Valid Response"))),"No Data")</f>
        <v>Valid Response</v>
      </c>
    </row>
    <row r="454" spans="2:10" x14ac:dyDescent="0.25">
      <c r="B454" s="17">
        <v>1449</v>
      </c>
      <c r="C454" s="4">
        <v>45746</v>
      </c>
      <c r="D454" s="3" t="s">
        <v>314</v>
      </c>
      <c r="E454" s="3" t="s">
        <v>19</v>
      </c>
      <c r="F454" s="11">
        <v>15000</v>
      </c>
      <c r="G454" s="14">
        <v>3</v>
      </c>
      <c r="H454" s="3" t="s">
        <v>28</v>
      </c>
      <c r="I454" s="3" t="s">
        <v>29</v>
      </c>
      <c r="J454" s="3" t="str">
        <f>IFERROR(IF(AND(Table1[[#This Row],[Sales]]=0,Table1[[#This Row],[Quantity]]&lt;&gt;0),"Sales Missing",IF(AND(Table1[[#This Row],[Sales]]&lt;&gt;0,Table1[[#This Row],[Quantity]]=0),"Quantity Missing",IF(AND(Table1[[#This Row],[Sales]]=0,Table1[[#This Row],[Quantity]]=0),"Both Missing","Valid Response"))),"No Data")</f>
        <v>Valid Response</v>
      </c>
    </row>
    <row r="455" spans="2:10" x14ac:dyDescent="0.25">
      <c r="B455" s="17">
        <v>1450</v>
      </c>
      <c r="C455" s="4">
        <v>45747</v>
      </c>
      <c r="D455" s="3" t="s">
        <v>315</v>
      </c>
      <c r="E455" s="3" t="s">
        <v>19</v>
      </c>
      <c r="F455" s="11">
        <v>21000</v>
      </c>
      <c r="G455" s="14">
        <v>3</v>
      </c>
      <c r="H455" s="3" t="s">
        <v>24</v>
      </c>
      <c r="I455" s="3" t="s">
        <v>53</v>
      </c>
      <c r="J455" s="3" t="str">
        <f>IFERROR(IF(AND(Table1[[#This Row],[Sales]]=0,Table1[[#This Row],[Quantity]]&lt;&gt;0),"Sales Missing",IF(AND(Table1[[#This Row],[Sales]]&lt;&gt;0,Table1[[#This Row],[Quantity]]=0),"Quantity Missing",IF(AND(Table1[[#This Row],[Sales]]=0,Table1[[#This Row],[Quantity]]=0),"Both Missing","Valid Response"))),"No Data")</f>
        <v>Valid Response</v>
      </c>
    </row>
    <row r="456" spans="2:10" x14ac:dyDescent="0.25">
      <c r="B456" s="17">
        <v>1451</v>
      </c>
      <c r="C456" s="4">
        <v>45748</v>
      </c>
      <c r="D456" s="3" t="s">
        <v>33</v>
      </c>
      <c r="E456" s="3" t="s">
        <v>10</v>
      </c>
      <c r="F456" s="11">
        <v>20000</v>
      </c>
      <c r="G456" s="14">
        <v>2</v>
      </c>
      <c r="H456" s="3" t="s">
        <v>20</v>
      </c>
      <c r="I456" s="3" t="s">
        <v>29</v>
      </c>
      <c r="J456" s="3" t="str">
        <f>IFERROR(IF(AND(Table1[[#This Row],[Sales]]=0,Table1[[#This Row],[Quantity]]&lt;&gt;0),"Sales Missing",IF(AND(Table1[[#This Row],[Sales]]&lt;&gt;0,Table1[[#This Row],[Quantity]]=0),"Quantity Missing",IF(AND(Table1[[#This Row],[Sales]]=0,Table1[[#This Row],[Quantity]]=0),"Both Missing","Valid Response"))),"No Data")</f>
        <v>Valid Response</v>
      </c>
    </row>
    <row r="457" spans="2:10" x14ac:dyDescent="0.25">
      <c r="B457" s="17">
        <v>1452</v>
      </c>
      <c r="C457" s="4">
        <v>45749</v>
      </c>
      <c r="D457" s="3" t="s">
        <v>23</v>
      </c>
      <c r="E457" s="3" t="s">
        <v>10</v>
      </c>
      <c r="F457" s="11">
        <v>48000</v>
      </c>
      <c r="G457" s="14">
        <v>0</v>
      </c>
      <c r="H457" s="3" t="s">
        <v>11</v>
      </c>
      <c r="I457" s="3" t="s">
        <v>29</v>
      </c>
      <c r="J457" s="3" t="str">
        <f>IFERROR(IF(AND(Table1[[#This Row],[Sales]]=0,Table1[[#This Row],[Quantity]]&lt;&gt;0),"Sales Missing",IF(AND(Table1[[#This Row],[Sales]]&lt;&gt;0,Table1[[#This Row],[Quantity]]=0),"Quantity Missing",IF(AND(Table1[[#This Row],[Sales]]=0,Table1[[#This Row],[Quantity]]=0),"Both Missing","Valid Response"))),"No Data")</f>
        <v>Quantity Missing</v>
      </c>
    </row>
    <row r="458" spans="2:10" x14ac:dyDescent="0.25">
      <c r="B458" s="17">
        <v>1453</v>
      </c>
      <c r="C458" s="4">
        <v>45750</v>
      </c>
      <c r="D458" s="3" t="s">
        <v>315</v>
      </c>
      <c r="E458" s="3" t="s">
        <v>19</v>
      </c>
      <c r="F458" s="11">
        <v>20000</v>
      </c>
      <c r="G458" s="14">
        <v>2</v>
      </c>
      <c r="H458" s="3" t="s">
        <v>20</v>
      </c>
      <c r="I458" s="3" t="s">
        <v>21</v>
      </c>
      <c r="J458" s="3" t="str">
        <f>IFERROR(IF(AND(Table1[[#This Row],[Sales]]=0,Table1[[#This Row],[Quantity]]&lt;&gt;0),"Sales Missing",IF(AND(Table1[[#This Row],[Sales]]&lt;&gt;0,Table1[[#This Row],[Quantity]]=0),"Quantity Missing",IF(AND(Table1[[#This Row],[Sales]]=0,Table1[[#This Row],[Quantity]]=0),"Both Missing","Valid Response"))),"No Data")</f>
        <v>Valid Response</v>
      </c>
    </row>
    <row r="459" spans="2:10" x14ac:dyDescent="0.25">
      <c r="B459" s="17">
        <v>1454</v>
      </c>
      <c r="C459" s="4">
        <v>45751</v>
      </c>
      <c r="D459" s="3" t="s">
        <v>315</v>
      </c>
      <c r="E459" s="3" t="s">
        <v>27</v>
      </c>
      <c r="F459" s="11">
        <v>55000</v>
      </c>
      <c r="G459" s="14">
        <v>1</v>
      </c>
      <c r="H459" s="3" t="s">
        <v>20</v>
      </c>
      <c r="I459" s="3" t="s">
        <v>53</v>
      </c>
      <c r="J459" s="3" t="str">
        <f>IFERROR(IF(AND(Table1[[#This Row],[Sales]]=0,Table1[[#This Row],[Quantity]]&lt;&gt;0),"Sales Missing",IF(AND(Table1[[#This Row],[Sales]]&lt;&gt;0,Table1[[#This Row],[Quantity]]=0),"Quantity Missing",IF(AND(Table1[[#This Row],[Sales]]=0,Table1[[#This Row],[Quantity]]=0),"Both Missing","Valid Response"))),"No Data")</f>
        <v>Valid Response</v>
      </c>
    </row>
    <row r="460" spans="2:10" x14ac:dyDescent="0.25">
      <c r="B460" s="17">
        <v>1455</v>
      </c>
      <c r="C460" s="4">
        <v>45752</v>
      </c>
      <c r="D460" s="3" t="s">
        <v>23</v>
      </c>
      <c r="E460" s="3" t="s">
        <v>27</v>
      </c>
      <c r="F460" s="11">
        <v>20000</v>
      </c>
      <c r="G460" s="14">
        <v>3</v>
      </c>
      <c r="H460" s="3" t="s">
        <v>28</v>
      </c>
      <c r="I460" s="3" t="s">
        <v>29</v>
      </c>
      <c r="J460" s="3" t="str">
        <f>IFERROR(IF(AND(Table1[[#This Row],[Sales]]=0,Table1[[#This Row],[Quantity]]&lt;&gt;0),"Sales Missing",IF(AND(Table1[[#This Row],[Sales]]&lt;&gt;0,Table1[[#This Row],[Quantity]]=0),"Quantity Missing",IF(AND(Table1[[#This Row],[Sales]]=0,Table1[[#This Row],[Quantity]]=0),"Both Missing","Valid Response"))),"No Data")</f>
        <v>Valid Response</v>
      </c>
    </row>
    <row r="461" spans="2:10" x14ac:dyDescent="0.25">
      <c r="B461" s="17">
        <v>1456</v>
      </c>
      <c r="C461" s="4">
        <v>45753</v>
      </c>
      <c r="D461" s="3" t="s">
        <v>314</v>
      </c>
      <c r="E461" s="3" t="s">
        <v>19</v>
      </c>
      <c r="F461" s="11">
        <v>20000</v>
      </c>
      <c r="G461" s="14">
        <v>2</v>
      </c>
      <c r="H461" s="3" t="s">
        <v>20</v>
      </c>
      <c r="I461" s="3" t="s">
        <v>53</v>
      </c>
      <c r="J461" s="3" t="str">
        <f>IFERROR(IF(AND(Table1[[#This Row],[Sales]]=0,Table1[[#This Row],[Quantity]]&lt;&gt;0),"Sales Missing",IF(AND(Table1[[#This Row],[Sales]]&lt;&gt;0,Table1[[#This Row],[Quantity]]=0),"Quantity Missing",IF(AND(Table1[[#This Row],[Sales]]=0,Table1[[#This Row],[Quantity]]=0),"Both Missing","Valid Response"))),"No Data")</f>
        <v>Valid Response</v>
      </c>
    </row>
    <row r="462" spans="2:10" x14ac:dyDescent="0.25">
      <c r="B462" s="17">
        <v>1457</v>
      </c>
      <c r="C462" s="4">
        <v>45754</v>
      </c>
      <c r="D462" s="3" t="s">
        <v>315</v>
      </c>
      <c r="E462" s="3" t="s">
        <v>27</v>
      </c>
      <c r="F462" s="11">
        <v>48000</v>
      </c>
      <c r="G462" s="14">
        <v>3</v>
      </c>
      <c r="H462" s="3" t="s">
        <v>38</v>
      </c>
      <c r="I462" s="3" t="s">
        <v>53</v>
      </c>
      <c r="J462" s="3" t="str">
        <f>IFERROR(IF(AND(Table1[[#This Row],[Sales]]=0,Table1[[#This Row],[Quantity]]&lt;&gt;0),"Sales Missing",IF(AND(Table1[[#This Row],[Sales]]&lt;&gt;0,Table1[[#This Row],[Quantity]]=0),"Quantity Missing",IF(AND(Table1[[#This Row],[Sales]]=0,Table1[[#This Row],[Quantity]]=0),"Both Missing","Valid Response"))),"No Data")</f>
        <v>Valid Response</v>
      </c>
    </row>
    <row r="463" spans="2:10" x14ac:dyDescent="0.25">
      <c r="B463" s="17">
        <v>1458</v>
      </c>
      <c r="C463" s="4">
        <v>45755</v>
      </c>
      <c r="D463" s="3" t="s">
        <v>45</v>
      </c>
      <c r="E463" s="3" t="s">
        <v>27</v>
      </c>
      <c r="F463" s="11">
        <v>15000</v>
      </c>
      <c r="G463" s="14">
        <v>3</v>
      </c>
      <c r="H463" s="3" t="s">
        <v>38</v>
      </c>
      <c r="I463" s="3" t="s">
        <v>31</v>
      </c>
      <c r="J463" s="3" t="str">
        <f>IFERROR(IF(AND(Table1[[#This Row],[Sales]]=0,Table1[[#This Row],[Quantity]]&lt;&gt;0),"Sales Missing",IF(AND(Table1[[#This Row],[Sales]]&lt;&gt;0,Table1[[#This Row],[Quantity]]=0),"Quantity Missing",IF(AND(Table1[[#This Row],[Sales]]=0,Table1[[#This Row],[Quantity]]=0),"Both Missing","Valid Response"))),"No Data")</f>
        <v>Valid Response</v>
      </c>
    </row>
    <row r="464" spans="2:10" x14ac:dyDescent="0.25">
      <c r="B464" s="17">
        <v>1459</v>
      </c>
      <c r="C464" s="4">
        <v>45756</v>
      </c>
      <c r="D464" s="3" t="s">
        <v>314</v>
      </c>
      <c r="E464" s="3" t="s">
        <v>19</v>
      </c>
      <c r="F464" s="11">
        <v>0</v>
      </c>
      <c r="G464" s="14">
        <v>1</v>
      </c>
      <c r="H464" s="3" t="s">
        <v>46</v>
      </c>
      <c r="I464" s="3" t="s">
        <v>29</v>
      </c>
      <c r="J464" s="3" t="str">
        <f>IFERROR(IF(AND(Table1[[#This Row],[Sales]]=0,Table1[[#This Row],[Quantity]]&lt;&gt;0),"Sales Missing",IF(AND(Table1[[#This Row],[Sales]]&lt;&gt;0,Table1[[#This Row],[Quantity]]=0),"Quantity Missing",IF(AND(Table1[[#This Row],[Sales]]=0,Table1[[#This Row],[Quantity]]=0),"Both Missing","Valid Response"))),"No Data")</f>
        <v>Sales Missing</v>
      </c>
    </row>
    <row r="465" spans="2:10" x14ac:dyDescent="0.25">
      <c r="B465" s="17">
        <v>1460</v>
      </c>
      <c r="C465" s="4">
        <v>45757</v>
      </c>
      <c r="D465" s="3" t="s">
        <v>33</v>
      </c>
      <c r="E465" s="3" t="s">
        <v>19</v>
      </c>
      <c r="F465" s="11">
        <v>55000</v>
      </c>
      <c r="G465" s="14">
        <v>2</v>
      </c>
      <c r="H465" s="3" t="s">
        <v>20</v>
      </c>
      <c r="I465" s="3" t="s">
        <v>31</v>
      </c>
      <c r="J465" s="3" t="str">
        <f>IFERROR(IF(AND(Table1[[#This Row],[Sales]]=0,Table1[[#This Row],[Quantity]]&lt;&gt;0),"Sales Missing",IF(AND(Table1[[#This Row],[Sales]]&lt;&gt;0,Table1[[#This Row],[Quantity]]=0),"Quantity Missing",IF(AND(Table1[[#This Row],[Sales]]=0,Table1[[#This Row],[Quantity]]=0),"Both Missing","Valid Response"))),"No Data")</f>
        <v>Valid Response</v>
      </c>
    </row>
    <row r="466" spans="2:10" x14ac:dyDescent="0.25">
      <c r="B466" s="17">
        <v>1461</v>
      </c>
      <c r="C466" s="4">
        <v>45758</v>
      </c>
      <c r="D466" s="3" t="s">
        <v>315</v>
      </c>
      <c r="E466" s="3" t="s">
        <v>10</v>
      </c>
      <c r="F466" s="11">
        <v>0</v>
      </c>
      <c r="G466" s="14">
        <v>2</v>
      </c>
      <c r="H466" s="3" t="s">
        <v>46</v>
      </c>
      <c r="I466" s="3" t="s">
        <v>53</v>
      </c>
      <c r="J466" s="3" t="str">
        <f>IFERROR(IF(AND(Table1[[#This Row],[Sales]]=0,Table1[[#This Row],[Quantity]]&lt;&gt;0),"Sales Missing",IF(AND(Table1[[#This Row],[Sales]]&lt;&gt;0,Table1[[#This Row],[Quantity]]=0),"Quantity Missing",IF(AND(Table1[[#This Row],[Sales]]=0,Table1[[#This Row],[Quantity]]=0),"Both Missing","Valid Response"))),"No Data")</f>
        <v>Sales Missing</v>
      </c>
    </row>
    <row r="467" spans="2:10" x14ac:dyDescent="0.25">
      <c r="B467" s="17">
        <v>1462</v>
      </c>
      <c r="C467" s="4">
        <v>45759</v>
      </c>
      <c r="D467" s="3" t="s">
        <v>314</v>
      </c>
      <c r="E467" s="3" t="s">
        <v>27</v>
      </c>
      <c r="F467" s="11">
        <v>15000</v>
      </c>
      <c r="G467" s="14">
        <v>3</v>
      </c>
      <c r="H467" s="3" t="s">
        <v>24</v>
      </c>
      <c r="I467" s="3" t="s">
        <v>21</v>
      </c>
      <c r="J467" s="3" t="str">
        <f>IFERROR(IF(AND(Table1[[#This Row],[Sales]]=0,Table1[[#This Row],[Quantity]]&lt;&gt;0),"Sales Missing",IF(AND(Table1[[#This Row],[Sales]]&lt;&gt;0,Table1[[#This Row],[Quantity]]=0),"Quantity Missing",IF(AND(Table1[[#This Row],[Sales]]=0,Table1[[#This Row],[Quantity]]=0),"Both Missing","Valid Response"))),"No Data")</f>
        <v>Valid Response</v>
      </c>
    </row>
    <row r="468" spans="2:10" x14ac:dyDescent="0.25">
      <c r="B468" s="17">
        <v>1463</v>
      </c>
      <c r="C468" s="4">
        <v>45760</v>
      </c>
      <c r="D468" s="3" t="s">
        <v>33</v>
      </c>
      <c r="E468" s="3" t="s">
        <v>10</v>
      </c>
      <c r="F468" s="11">
        <v>53000</v>
      </c>
      <c r="G468" s="14">
        <v>2</v>
      </c>
      <c r="H468" s="3" t="s">
        <v>24</v>
      </c>
      <c r="I468" s="3" t="s">
        <v>21</v>
      </c>
      <c r="J468" s="3" t="str">
        <f>IFERROR(IF(AND(Table1[[#This Row],[Sales]]=0,Table1[[#This Row],[Quantity]]&lt;&gt;0),"Sales Missing",IF(AND(Table1[[#This Row],[Sales]]&lt;&gt;0,Table1[[#This Row],[Quantity]]=0),"Quantity Missing",IF(AND(Table1[[#This Row],[Sales]]=0,Table1[[#This Row],[Quantity]]=0),"Both Missing","Valid Response"))),"No Data")</f>
        <v>Valid Response</v>
      </c>
    </row>
    <row r="469" spans="2:10" x14ac:dyDescent="0.25">
      <c r="B469" s="17">
        <v>1464</v>
      </c>
      <c r="C469" s="4">
        <v>45761</v>
      </c>
      <c r="D469" s="3" t="s">
        <v>315</v>
      </c>
      <c r="E469" s="3" t="s">
        <v>19</v>
      </c>
      <c r="F469" s="11">
        <v>0</v>
      </c>
      <c r="G469" s="14">
        <v>1</v>
      </c>
      <c r="H469" s="3" t="s">
        <v>11</v>
      </c>
      <c r="I469" s="3" t="s">
        <v>31</v>
      </c>
      <c r="J469" s="3" t="str">
        <f>IFERROR(IF(AND(Table1[[#This Row],[Sales]]=0,Table1[[#This Row],[Quantity]]&lt;&gt;0),"Sales Missing",IF(AND(Table1[[#This Row],[Sales]]&lt;&gt;0,Table1[[#This Row],[Quantity]]=0),"Quantity Missing",IF(AND(Table1[[#This Row],[Sales]]=0,Table1[[#This Row],[Quantity]]=0),"Both Missing","Valid Response"))),"No Data")</f>
        <v>Sales Missing</v>
      </c>
    </row>
    <row r="470" spans="2:10" x14ac:dyDescent="0.25">
      <c r="B470" s="17">
        <v>1465</v>
      </c>
      <c r="C470" s="4">
        <v>45762</v>
      </c>
      <c r="D470" s="3" t="s">
        <v>314</v>
      </c>
      <c r="E470" s="3" t="s">
        <v>10</v>
      </c>
      <c r="F470" s="11">
        <v>21000</v>
      </c>
      <c r="G470" s="14">
        <v>0</v>
      </c>
      <c r="H470" s="3" t="s">
        <v>46</v>
      </c>
      <c r="I470" s="3" t="s">
        <v>29</v>
      </c>
      <c r="J470" s="3" t="str">
        <f>IFERROR(IF(AND(Table1[[#This Row],[Sales]]=0,Table1[[#This Row],[Quantity]]&lt;&gt;0),"Sales Missing",IF(AND(Table1[[#This Row],[Sales]]&lt;&gt;0,Table1[[#This Row],[Quantity]]=0),"Quantity Missing",IF(AND(Table1[[#This Row],[Sales]]=0,Table1[[#This Row],[Quantity]]=0),"Both Missing","Valid Response"))),"No Data")</f>
        <v>Quantity Missing</v>
      </c>
    </row>
    <row r="471" spans="2:10" x14ac:dyDescent="0.25">
      <c r="B471" s="17">
        <v>1466</v>
      </c>
      <c r="C471" s="4">
        <v>45763</v>
      </c>
      <c r="D471" s="3" t="s">
        <v>23</v>
      </c>
      <c r="E471" s="3" t="s">
        <v>19</v>
      </c>
      <c r="F471" s="11">
        <v>53000</v>
      </c>
      <c r="G471" s="14">
        <v>2</v>
      </c>
      <c r="H471" s="3" t="s">
        <v>34</v>
      </c>
      <c r="I471" s="3" t="s">
        <v>21</v>
      </c>
      <c r="J471" s="3" t="str">
        <f>IFERROR(IF(AND(Table1[[#This Row],[Sales]]=0,Table1[[#This Row],[Quantity]]&lt;&gt;0),"Sales Missing",IF(AND(Table1[[#This Row],[Sales]]&lt;&gt;0,Table1[[#This Row],[Quantity]]=0),"Quantity Missing",IF(AND(Table1[[#This Row],[Sales]]=0,Table1[[#This Row],[Quantity]]=0),"Both Missing","Valid Response"))),"No Data")</f>
        <v>Valid Response</v>
      </c>
    </row>
    <row r="472" spans="2:10" x14ac:dyDescent="0.25">
      <c r="B472" s="17">
        <v>1467</v>
      </c>
      <c r="C472" s="4">
        <v>45764</v>
      </c>
      <c r="D472" s="3" t="s">
        <v>45</v>
      </c>
      <c r="E472" s="3" t="s">
        <v>19</v>
      </c>
      <c r="F472" s="11">
        <v>52000</v>
      </c>
      <c r="G472" s="14">
        <v>1</v>
      </c>
      <c r="H472" s="3" t="s">
        <v>38</v>
      </c>
      <c r="I472" s="3" t="s">
        <v>21</v>
      </c>
      <c r="J472" s="3" t="str">
        <f>IFERROR(IF(AND(Table1[[#This Row],[Sales]]=0,Table1[[#This Row],[Quantity]]&lt;&gt;0),"Sales Missing",IF(AND(Table1[[#This Row],[Sales]]&lt;&gt;0,Table1[[#This Row],[Quantity]]=0),"Quantity Missing",IF(AND(Table1[[#This Row],[Sales]]=0,Table1[[#This Row],[Quantity]]=0),"Both Missing","Valid Response"))),"No Data")</f>
        <v>Valid Response</v>
      </c>
    </row>
    <row r="473" spans="2:10" x14ac:dyDescent="0.25">
      <c r="B473" s="17">
        <v>1468</v>
      </c>
      <c r="C473" s="4">
        <v>45765</v>
      </c>
      <c r="D473" s="3" t="s">
        <v>33</v>
      </c>
      <c r="E473" s="3" t="s">
        <v>19</v>
      </c>
      <c r="F473" s="11">
        <v>52000</v>
      </c>
      <c r="G473" s="14">
        <v>3</v>
      </c>
      <c r="H473" s="3" t="s">
        <v>20</v>
      </c>
      <c r="I473" s="3" t="s">
        <v>53</v>
      </c>
      <c r="J473" s="3" t="str">
        <f>IFERROR(IF(AND(Table1[[#This Row],[Sales]]=0,Table1[[#This Row],[Quantity]]&lt;&gt;0),"Sales Missing",IF(AND(Table1[[#This Row],[Sales]]&lt;&gt;0,Table1[[#This Row],[Quantity]]=0),"Quantity Missing",IF(AND(Table1[[#This Row],[Sales]]=0,Table1[[#This Row],[Quantity]]=0),"Both Missing","Valid Response"))),"No Data")</f>
        <v>Valid Response</v>
      </c>
    </row>
    <row r="474" spans="2:10" x14ac:dyDescent="0.25">
      <c r="B474" s="17">
        <v>1469</v>
      </c>
      <c r="C474" s="4">
        <v>45766</v>
      </c>
      <c r="D474" s="3" t="s">
        <v>23</v>
      </c>
      <c r="E474" s="3" t="s">
        <v>19</v>
      </c>
      <c r="F474" s="11">
        <v>52000</v>
      </c>
      <c r="G474" s="14">
        <v>0</v>
      </c>
      <c r="H474" s="3" t="s">
        <v>24</v>
      </c>
      <c r="I474" s="3" t="s">
        <v>53</v>
      </c>
      <c r="J474" s="3" t="str">
        <f>IFERROR(IF(AND(Table1[[#This Row],[Sales]]=0,Table1[[#This Row],[Quantity]]&lt;&gt;0),"Sales Missing",IF(AND(Table1[[#This Row],[Sales]]&lt;&gt;0,Table1[[#This Row],[Quantity]]=0),"Quantity Missing",IF(AND(Table1[[#This Row],[Sales]]=0,Table1[[#This Row],[Quantity]]=0),"Both Missing","Valid Response"))),"No Data")</f>
        <v>Quantity Missing</v>
      </c>
    </row>
    <row r="475" spans="2:10" x14ac:dyDescent="0.25">
      <c r="B475" s="17">
        <v>1470</v>
      </c>
      <c r="C475" s="4">
        <v>45767</v>
      </c>
      <c r="D475" s="3" t="s">
        <v>33</v>
      </c>
      <c r="E475" s="3" t="s">
        <v>27</v>
      </c>
      <c r="F475" s="11">
        <v>48000</v>
      </c>
      <c r="G475" s="14">
        <v>2</v>
      </c>
      <c r="H475" s="3" t="s">
        <v>28</v>
      </c>
      <c r="I475" s="3" t="s">
        <v>29</v>
      </c>
      <c r="J475" s="3" t="str">
        <f>IFERROR(IF(AND(Table1[[#This Row],[Sales]]=0,Table1[[#This Row],[Quantity]]&lt;&gt;0),"Sales Missing",IF(AND(Table1[[#This Row],[Sales]]&lt;&gt;0,Table1[[#This Row],[Quantity]]=0),"Quantity Missing",IF(AND(Table1[[#This Row],[Sales]]=0,Table1[[#This Row],[Quantity]]=0),"Both Missing","Valid Response"))),"No Data")</f>
        <v>Valid Response</v>
      </c>
    </row>
    <row r="476" spans="2:10" x14ac:dyDescent="0.25">
      <c r="B476" s="17">
        <v>1471</v>
      </c>
      <c r="C476" s="4">
        <v>45768</v>
      </c>
      <c r="D476" s="3" t="s">
        <v>33</v>
      </c>
      <c r="E476" s="3" t="s">
        <v>27</v>
      </c>
      <c r="F476" s="11">
        <v>52000</v>
      </c>
      <c r="G476" s="14">
        <v>2</v>
      </c>
      <c r="H476" s="3" t="s">
        <v>24</v>
      </c>
      <c r="I476" s="3" t="s">
        <v>31</v>
      </c>
      <c r="J476" s="3" t="str">
        <f>IFERROR(IF(AND(Table1[[#This Row],[Sales]]=0,Table1[[#This Row],[Quantity]]&lt;&gt;0),"Sales Missing",IF(AND(Table1[[#This Row],[Sales]]&lt;&gt;0,Table1[[#This Row],[Quantity]]=0),"Quantity Missing",IF(AND(Table1[[#This Row],[Sales]]=0,Table1[[#This Row],[Quantity]]=0),"Both Missing","Valid Response"))),"No Data")</f>
        <v>Valid Response</v>
      </c>
    </row>
    <row r="477" spans="2:10" x14ac:dyDescent="0.25">
      <c r="B477" s="17">
        <v>1472</v>
      </c>
      <c r="C477" s="4">
        <v>45769</v>
      </c>
      <c r="D477" s="3" t="s">
        <v>45</v>
      </c>
      <c r="E477" s="3" t="s">
        <v>19</v>
      </c>
      <c r="F477" s="11">
        <v>21000</v>
      </c>
      <c r="G477" s="14">
        <v>3</v>
      </c>
      <c r="H477" s="3" t="s">
        <v>46</v>
      </c>
      <c r="I477" s="3" t="s">
        <v>53</v>
      </c>
      <c r="J477" s="3" t="str">
        <f>IFERROR(IF(AND(Table1[[#This Row],[Sales]]=0,Table1[[#This Row],[Quantity]]&lt;&gt;0),"Sales Missing",IF(AND(Table1[[#This Row],[Sales]]&lt;&gt;0,Table1[[#This Row],[Quantity]]=0),"Quantity Missing",IF(AND(Table1[[#This Row],[Sales]]=0,Table1[[#This Row],[Quantity]]=0),"Both Missing","Valid Response"))),"No Data")</f>
        <v>Valid Response</v>
      </c>
    </row>
    <row r="478" spans="2:10" x14ac:dyDescent="0.25">
      <c r="B478" s="17">
        <v>1473</v>
      </c>
      <c r="C478" s="4">
        <v>45770</v>
      </c>
      <c r="D478" s="3" t="s">
        <v>23</v>
      </c>
      <c r="E478" s="3" t="s">
        <v>27</v>
      </c>
      <c r="F478" s="11">
        <v>21000</v>
      </c>
      <c r="G478" s="14">
        <v>1</v>
      </c>
      <c r="H478" s="3" t="s">
        <v>34</v>
      </c>
      <c r="I478" s="3" t="s">
        <v>53</v>
      </c>
      <c r="J478" s="3" t="str">
        <f>IFERROR(IF(AND(Table1[[#This Row],[Sales]]=0,Table1[[#This Row],[Quantity]]&lt;&gt;0),"Sales Missing",IF(AND(Table1[[#This Row],[Sales]]&lt;&gt;0,Table1[[#This Row],[Quantity]]=0),"Quantity Missing",IF(AND(Table1[[#This Row],[Sales]]=0,Table1[[#This Row],[Quantity]]=0),"Both Missing","Valid Response"))),"No Data")</f>
        <v>Valid Response</v>
      </c>
    </row>
    <row r="479" spans="2:10" x14ac:dyDescent="0.25">
      <c r="B479" s="17">
        <v>1474</v>
      </c>
      <c r="C479" s="4">
        <v>45771</v>
      </c>
      <c r="D479" s="3" t="s">
        <v>23</v>
      </c>
      <c r="E479" s="3" t="s">
        <v>27</v>
      </c>
      <c r="F479" s="11">
        <v>53000</v>
      </c>
      <c r="G479" s="14">
        <v>2</v>
      </c>
      <c r="H479" s="3" t="s">
        <v>15</v>
      </c>
      <c r="I479" s="3" t="s">
        <v>53</v>
      </c>
      <c r="J479" s="3" t="str">
        <f>IFERROR(IF(AND(Table1[[#This Row],[Sales]]=0,Table1[[#This Row],[Quantity]]&lt;&gt;0),"Sales Missing",IF(AND(Table1[[#This Row],[Sales]]&lt;&gt;0,Table1[[#This Row],[Quantity]]=0),"Quantity Missing",IF(AND(Table1[[#This Row],[Sales]]=0,Table1[[#This Row],[Quantity]]=0),"Both Missing","Valid Response"))),"No Data")</f>
        <v>Valid Response</v>
      </c>
    </row>
    <row r="480" spans="2:10" x14ac:dyDescent="0.25">
      <c r="B480" s="17">
        <v>1475</v>
      </c>
      <c r="C480" s="4">
        <v>45772</v>
      </c>
      <c r="D480" s="3" t="s">
        <v>315</v>
      </c>
      <c r="E480" s="3" t="s">
        <v>27</v>
      </c>
      <c r="F480" s="11">
        <v>15000</v>
      </c>
      <c r="G480" s="14">
        <v>2</v>
      </c>
      <c r="H480" s="3" t="s">
        <v>20</v>
      </c>
      <c r="I480" s="3" t="s">
        <v>21</v>
      </c>
      <c r="J480" s="3" t="str">
        <f>IFERROR(IF(AND(Table1[[#This Row],[Sales]]=0,Table1[[#This Row],[Quantity]]&lt;&gt;0),"Sales Missing",IF(AND(Table1[[#This Row],[Sales]]&lt;&gt;0,Table1[[#This Row],[Quantity]]=0),"Quantity Missing",IF(AND(Table1[[#This Row],[Sales]]=0,Table1[[#This Row],[Quantity]]=0),"Both Missing","Valid Response"))),"No Data")</f>
        <v>Valid Response</v>
      </c>
    </row>
    <row r="481" spans="2:10" x14ac:dyDescent="0.25">
      <c r="B481" s="17">
        <v>1476</v>
      </c>
      <c r="C481" s="4">
        <v>45773</v>
      </c>
      <c r="D481" s="3" t="s">
        <v>45</v>
      </c>
      <c r="E481" s="3" t="s">
        <v>19</v>
      </c>
      <c r="F481" s="11">
        <v>15000</v>
      </c>
      <c r="G481" s="14">
        <v>2</v>
      </c>
      <c r="H481" s="3" t="s">
        <v>20</v>
      </c>
      <c r="I481" s="3" t="s">
        <v>53</v>
      </c>
      <c r="J481" s="3" t="str">
        <f>IFERROR(IF(AND(Table1[[#This Row],[Sales]]=0,Table1[[#This Row],[Quantity]]&lt;&gt;0),"Sales Missing",IF(AND(Table1[[#This Row],[Sales]]&lt;&gt;0,Table1[[#This Row],[Quantity]]=0),"Quantity Missing",IF(AND(Table1[[#This Row],[Sales]]=0,Table1[[#This Row],[Quantity]]=0),"Both Missing","Valid Response"))),"No Data")</f>
        <v>Valid Response</v>
      </c>
    </row>
    <row r="482" spans="2:10" x14ac:dyDescent="0.25">
      <c r="B482" s="17">
        <v>1477</v>
      </c>
      <c r="C482" s="4">
        <v>45774</v>
      </c>
      <c r="D482" s="3" t="s">
        <v>45</v>
      </c>
      <c r="E482" s="3" t="s">
        <v>10</v>
      </c>
      <c r="F482" s="11">
        <v>52000</v>
      </c>
      <c r="G482" s="14">
        <v>1</v>
      </c>
      <c r="H482" s="3" t="s">
        <v>34</v>
      </c>
      <c r="I482" s="3" t="s">
        <v>21</v>
      </c>
      <c r="J482" s="3" t="str">
        <f>IFERROR(IF(AND(Table1[[#This Row],[Sales]]=0,Table1[[#This Row],[Quantity]]&lt;&gt;0),"Sales Missing",IF(AND(Table1[[#This Row],[Sales]]&lt;&gt;0,Table1[[#This Row],[Quantity]]=0),"Quantity Missing",IF(AND(Table1[[#This Row],[Sales]]=0,Table1[[#This Row],[Quantity]]=0),"Both Missing","Valid Response"))),"No Data")</f>
        <v>Valid Response</v>
      </c>
    </row>
    <row r="483" spans="2:10" x14ac:dyDescent="0.25">
      <c r="B483" s="17">
        <v>1478</v>
      </c>
      <c r="C483" s="4">
        <v>45775</v>
      </c>
      <c r="D483" s="3" t="s">
        <v>314</v>
      </c>
      <c r="E483" s="3" t="s">
        <v>10</v>
      </c>
      <c r="F483" s="11">
        <v>21000</v>
      </c>
      <c r="G483" s="14">
        <v>1</v>
      </c>
      <c r="H483" s="3" t="s">
        <v>38</v>
      </c>
      <c r="I483" s="3" t="s">
        <v>21</v>
      </c>
      <c r="J483" s="3" t="str">
        <f>IFERROR(IF(AND(Table1[[#This Row],[Sales]]=0,Table1[[#This Row],[Quantity]]&lt;&gt;0),"Sales Missing",IF(AND(Table1[[#This Row],[Sales]]&lt;&gt;0,Table1[[#This Row],[Quantity]]=0),"Quantity Missing",IF(AND(Table1[[#This Row],[Sales]]=0,Table1[[#This Row],[Quantity]]=0),"Both Missing","Valid Response"))),"No Data")</f>
        <v>Valid Response</v>
      </c>
    </row>
    <row r="484" spans="2:10" x14ac:dyDescent="0.25">
      <c r="B484" s="17">
        <v>1479</v>
      </c>
      <c r="C484" s="4">
        <v>45776</v>
      </c>
      <c r="D484" s="3" t="s">
        <v>23</v>
      </c>
      <c r="E484" s="3" t="s">
        <v>27</v>
      </c>
      <c r="F484" s="11">
        <v>48000</v>
      </c>
      <c r="G484" s="14">
        <v>2</v>
      </c>
      <c r="H484" s="3" t="s">
        <v>38</v>
      </c>
      <c r="I484" s="3" t="s">
        <v>21</v>
      </c>
      <c r="J484" s="3" t="str">
        <f>IFERROR(IF(AND(Table1[[#This Row],[Sales]]=0,Table1[[#This Row],[Quantity]]&lt;&gt;0),"Sales Missing",IF(AND(Table1[[#This Row],[Sales]]&lt;&gt;0,Table1[[#This Row],[Quantity]]=0),"Quantity Missing",IF(AND(Table1[[#This Row],[Sales]]=0,Table1[[#This Row],[Quantity]]=0),"Both Missing","Valid Response"))),"No Data")</f>
        <v>Valid Response</v>
      </c>
    </row>
    <row r="485" spans="2:10" x14ac:dyDescent="0.25">
      <c r="B485" s="17">
        <v>1480</v>
      </c>
      <c r="C485" s="4">
        <v>45777</v>
      </c>
      <c r="D485" s="3" t="s">
        <v>33</v>
      </c>
      <c r="E485" s="3" t="s">
        <v>19</v>
      </c>
      <c r="F485" s="11">
        <v>53000</v>
      </c>
      <c r="G485" s="14">
        <v>0</v>
      </c>
      <c r="H485" s="3" t="s">
        <v>15</v>
      </c>
      <c r="I485" s="3" t="s">
        <v>53</v>
      </c>
      <c r="J485" s="3" t="str">
        <f>IFERROR(IF(AND(Table1[[#This Row],[Sales]]=0,Table1[[#This Row],[Quantity]]&lt;&gt;0),"Sales Missing",IF(AND(Table1[[#This Row],[Sales]]&lt;&gt;0,Table1[[#This Row],[Quantity]]=0),"Quantity Missing",IF(AND(Table1[[#This Row],[Sales]]=0,Table1[[#This Row],[Quantity]]=0),"Both Missing","Valid Response"))),"No Data")</f>
        <v>Quantity Missing</v>
      </c>
    </row>
    <row r="486" spans="2:10" x14ac:dyDescent="0.25">
      <c r="B486" s="17">
        <v>1481</v>
      </c>
      <c r="C486" s="4">
        <v>45658</v>
      </c>
      <c r="D486" s="3" t="s">
        <v>33</v>
      </c>
      <c r="E486" s="3" t="s">
        <v>27</v>
      </c>
      <c r="F486" s="11">
        <v>21000</v>
      </c>
      <c r="G486" s="14">
        <v>3</v>
      </c>
      <c r="H486" s="3" t="s">
        <v>38</v>
      </c>
      <c r="I486" s="3" t="s">
        <v>29</v>
      </c>
      <c r="J486" s="3" t="str">
        <f>IFERROR(IF(AND(Table1[[#This Row],[Sales]]=0,Table1[[#This Row],[Quantity]]&lt;&gt;0),"Sales Missing",IF(AND(Table1[[#This Row],[Sales]]&lt;&gt;0,Table1[[#This Row],[Quantity]]=0),"Quantity Missing",IF(AND(Table1[[#This Row],[Sales]]=0,Table1[[#This Row],[Quantity]]=0),"Both Missing","Valid Response"))),"No Data")</f>
        <v>Valid Response</v>
      </c>
    </row>
    <row r="487" spans="2:10" x14ac:dyDescent="0.25">
      <c r="B487" s="17">
        <v>1482</v>
      </c>
      <c r="C487" s="4">
        <v>45659</v>
      </c>
      <c r="D487" s="3" t="s">
        <v>33</v>
      </c>
      <c r="E487" s="3" t="s">
        <v>10</v>
      </c>
      <c r="F487" s="11">
        <v>52000</v>
      </c>
      <c r="G487" s="14">
        <v>2</v>
      </c>
      <c r="H487" s="3" t="s">
        <v>46</v>
      </c>
      <c r="I487" s="3" t="s">
        <v>21</v>
      </c>
      <c r="J487" s="3" t="str">
        <f>IFERROR(IF(AND(Table1[[#This Row],[Sales]]=0,Table1[[#This Row],[Quantity]]&lt;&gt;0),"Sales Missing",IF(AND(Table1[[#This Row],[Sales]]&lt;&gt;0,Table1[[#This Row],[Quantity]]=0),"Quantity Missing",IF(AND(Table1[[#This Row],[Sales]]=0,Table1[[#This Row],[Quantity]]=0),"Both Missing","Valid Response"))),"No Data")</f>
        <v>Valid Response</v>
      </c>
    </row>
    <row r="488" spans="2:10" x14ac:dyDescent="0.25">
      <c r="B488" s="17">
        <v>1483</v>
      </c>
      <c r="C488" s="4">
        <v>45660</v>
      </c>
      <c r="D488" s="3" t="s">
        <v>315</v>
      </c>
      <c r="E488" s="3" t="s">
        <v>19</v>
      </c>
      <c r="F488" s="11">
        <v>21000</v>
      </c>
      <c r="G488" s="14">
        <v>1</v>
      </c>
      <c r="H488" s="3" t="s">
        <v>46</v>
      </c>
      <c r="I488" s="3" t="s">
        <v>21</v>
      </c>
      <c r="J488" s="3" t="str">
        <f>IFERROR(IF(AND(Table1[[#This Row],[Sales]]=0,Table1[[#This Row],[Quantity]]&lt;&gt;0),"Sales Missing",IF(AND(Table1[[#This Row],[Sales]]&lt;&gt;0,Table1[[#This Row],[Quantity]]=0),"Quantity Missing",IF(AND(Table1[[#This Row],[Sales]]=0,Table1[[#This Row],[Quantity]]=0),"Both Missing","Valid Response"))),"No Data")</f>
        <v>Valid Response</v>
      </c>
    </row>
    <row r="489" spans="2:10" x14ac:dyDescent="0.25">
      <c r="B489" s="17">
        <v>1484</v>
      </c>
      <c r="C489" s="4">
        <v>45661</v>
      </c>
      <c r="D489" s="3" t="s">
        <v>315</v>
      </c>
      <c r="E489" s="3" t="s">
        <v>19</v>
      </c>
      <c r="F489" s="11">
        <v>48000</v>
      </c>
      <c r="G489" s="14">
        <v>2</v>
      </c>
      <c r="H489" s="3" t="s">
        <v>15</v>
      </c>
      <c r="I489" s="3" t="s">
        <v>21</v>
      </c>
      <c r="J489" s="3" t="str">
        <f>IFERROR(IF(AND(Table1[[#This Row],[Sales]]=0,Table1[[#This Row],[Quantity]]&lt;&gt;0),"Sales Missing",IF(AND(Table1[[#This Row],[Sales]]&lt;&gt;0,Table1[[#This Row],[Quantity]]=0),"Quantity Missing",IF(AND(Table1[[#This Row],[Sales]]=0,Table1[[#This Row],[Quantity]]=0),"Both Missing","Valid Response"))),"No Data")</f>
        <v>Valid Response</v>
      </c>
    </row>
    <row r="490" spans="2:10" x14ac:dyDescent="0.25">
      <c r="B490" s="17">
        <v>1485</v>
      </c>
      <c r="C490" s="4">
        <v>45662</v>
      </c>
      <c r="D490" s="3" t="s">
        <v>23</v>
      </c>
      <c r="E490" s="3" t="s">
        <v>27</v>
      </c>
      <c r="F490" s="11">
        <v>52000</v>
      </c>
      <c r="G490" s="14">
        <v>3</v>
      </c>
      <c r="H490" s="3" t="s">
        <v>46</v>
      </c>
      <c r="I490" s="3" t="s">
        <v>21</v>
      </c>
      <c r="J490" s="3" t="str">
        <f>IFERROR(IF(AND(Table1[[#This Row],[Sales]]=0,Table1[[#This Row],[Quantity]]&lt;&gt;0),"Sales Missing",IF(AND(Table1[[#This Row],[Sales]]&lt;&gt;0,Table1[[#This Row],[Quantity]]=0),"Quantity Missing",IF(AND(Table1[[#This Row],[Sales]]=0,Table1[[#This Row],[Quantity]]=0),"Both Missing","Valid Response"))),"No Data")</f>
        <v>Valid Response</v>
      </c>
    </row>
    <row r="491" spans="2:10" x14ac:dyDescent="0.25">
      <c r="B491" s="17">
        <v>1486</v>
      </c>
      <c r="C491" s="4">
        <v>45663</v>
      </c>
      <c r="D491" s="3" t="s">
        <v>315</v>
      </c>
      <c r="E491" s="3" t="s">
        <v>27</v>
      </c>
      <c r="F491" s="11">
        <v>55000</v>
      </c>
      <c r="G491" s="14">
        <v>1</v>
      </c>
      <c r="H491" s="3" t="s">
        <v>34</v>
      </c>
      <c r="I491" s="3" t="s">
        <v>53</v>
      </c>
      <c r="J491" s="3" t="str">
        <f>IFERROR(IF(AND(Table1[[#This Row],[Sales]]=0,Table1[[#This Row],[Quantity]]&lt;&gt;0),"Sales Missing",IF(AND(Table1[[#This Row],[Sales]]&lt;&gt;0,Table1[[#This Row],[Quantity]]=0),"Quantity Missing",IF(AND(Table1[[#This Row],[Sales]]=0,Table1[[#This Row],[Quantity]]=0),"Both Missing","Valid Response"))),"No Data")</f>
        <v>Valid Response</v>
      </c>
    </row>
    <row r="492" spans="2:10" x14ac:dyDescent="0.25">
      <c r="B492" s="17">
        <v>1487</v>
      </c>
      <c r="C492" s="4">
        <v>45664</v>
      </c>
      <c r="D492" s="3" t="s">
        <v>23</v>
      </c>
      <c r="E492" s="3" t="s">
        <v>19</v>
      </c>
      <c r="F492" s="11">
        <v>52000</v>
      </c>
      <c r="G492" s="14">
        <v>3</v>
      </c>
      <c r="H492" s="3" t="s">
        <v>11</v>
      </c>
      <c r="I492" s="3" t="s">
        <v>53</v>
      </c>
      <c r="J492" s="3" t="str">
        <f>IFERROR(IF(AND(Table1[[#This Row],[Sales]]=0,Table1[[#This Row],[Quantity]]&lt;&gt;0),"Sales Missing",IF(AND(Table1[[#This Row],[Sales]]&lt;&gt;0,Table1[[#This Row],[Quantity]]=0),"Quantity Missing",IF(AND(Table1[[#This Row],[Sales]]=0,Table1[[#This Row],[Quantity]]=0),"Both Missing","Valid Response"))),"No Data")</f>
        <v>Valid Response</v>
      </c>
    </row>
    <row r="493" spans="2:10" x14ac:dyDescent="0.25">
      <c r="B493" s="17">
        <v>1488</v>
      </c>
      <c r="C493" s="4">
        <v>45665</v>
      </c>
      <c r="D493" s="3" t="s">
        <v>23</v>
      </c>
      <c r="E493" s="3" t="s">
        <v>27</v>
      </c>
      <c r="F493" s="11">
        <v>21000</v>
      </c>
      <c r="G493" s="14">
        <v>3</v>
      </c>
      <c r="H493" s="3" t="s">
        <v>15</v>
      </c>
      <c r="I493" s="3" t="s">
        <v>53</v>
      </c>
      <c r="J493" s="3" t="str">
        <f>IFERROR(IF(AND(Table1[[#This Row],[Sales]]=0,Table1[[#This Row],[Quantity]]&lt;&gt;0),"Sales Missing",IF(AND(Table1[[#This Row],[Sales]]&lt;&gt;0,Table1[[#This Row],[Quantity]]=0),"Quantity Missing",IF(AND(Table1[[#This Row],[Sales]]=0,Table1[[#This Row],[Quantity]]=0),"Both Missing","Valid Response"))),"No Data")</f>
        <v>Valid Response</v>
      </c>
    </row>
    <row r="494" spans="2:10" x14ac:dyDescent="0.25">
      <c r="B494" s="17">
        <v>1489</v>
      </c>
      <c r="C494" s="4">
        <v>45666</v>
      </c>
      <c r="D494" s="3" t="s">
        <v>33</v>
      </c>
      <c r="E494" s="3" t="s">
        <v>27</v>
      </c>
      <c r="F494" s="11">
        <v>48000</v>
      </c>
      <c r="G494" s="14">
        <v>0</v>
      </c>
      <c r="H494" s="3" t="s">
        <v>11</v>
      </c>
      <c r="I494" s="3" t="s">
        <v>53</v>
      </c>
      <c r="J494" s="3" t="str">
        <f>IFERROR(IF(AND(Table1[[#This Row],[Sales]]=0,Table1[[#This Row],[Quantity]]&lt;&gt;0),"Sales Missing",IF(AND(Table1[[#This Row],[Sales]]&lt;&gt;0,Table1[[#This Row],[Quantity]]=0),"Quantity Missing",IF(AND(Table1[[#This Row],[Sales]]=0,Table1[[#This Row],[Quantity]]=0),"Both Missing","Valid Response"))),"No Data")</f>
        <v>Quantity Missing</v>
      </c>
    </row>
    <row r="495" spans="2:10" x14ac:dyDescent="0.25">
      <c r="B495" s="17">
        <v>1490</v>
      </c>
      <c r="C495" s="4">
        <v>45667</v>
      </c>
      <c r="D495" s="3" t="s">
        <v>33</v>
      </c>
      <c r="E495" s="3" t="s">
        <v>19</v>
      </c>
      <c r="F495" s="11">
        <v>21000</v>
      </c>
      <c r="G495" s="14">
        <v>1</v>
      </c>
      <c r="H495" s="3" t="s">
        <v>20</v>
      </c>
      <c r="I495" s="3" t="s">
        <v>21</v>
      </c>
      <c r="J495" s="3" t="str">
        <f>IFERROR(IF(AND(Table1[[#This Row],[Sales]]=0,Table1[[#This Row],[Quantity]]&lt;&gt;0),"Sales Missing",IF(AND(Table1[[#This Row],[Sales]]&lt;&gt;0,Table1[[#This Row],[Quantity]]=0),"Quantity Missing",IF(AND(Table1[[#This Row],[Sales]]=0,Table1[[#This Row],[Quantity]]=0),"Both Missing","Valid Response"))),"No Data")</f>
        <v>Valid Response</v>
      </c>
    </row>
    <row r="496" spans="2:10" x14ac:dyDescent="0.25">
      <c r="B496" s="17">
        <v>1491</v>
      </c>
      <c r="C496" s="4">
        <v>45668</v>
      </c>
      <c r="D496" s="3" t="s">
        <v>314</v>
      </c>
      <c r="E496" s="3" t="s">
        <v>27</v>
      </c>
      <c r="F496" s="11">
        <v>15000</v>
      </c>
      <c r="G496" s="14">
        <v>2</v>
      </c>
      <c r="H496" s="3" t="s">
        <v>38</v>
      </c>
      <c r="I496" s="3" t="s">
        <v>53</v>
      </c>
      <c r="J496" s="3" t="str">
        <f>IFERROR(IF(AND(Table1[[#This Row],[Sales]]=0,Table1[[#This Row],[Quantity]]&lt;&gt;0),"Sales Missing",IF(AND(Table1[[#This Row],[Sales]]&lt;&gt;0,Table1[[#This Row],[Quantity]]=0),"Quantity Missing",IF(AND(Table1[[#This Row],[Sales]]=0,Table1[[#This Row],[Quantity]]=0),"Both Missing","Valid Response"))),"No Data")</f>
        <v>Valid Response</v>
      </c>
    </row>
    <row r="497" spans="2:10" x14ac:dyDescent="0.25">
      <c r="B497" s="17">
        <v>1492</v>
      </c>
      <c r="C497" s="4">
        <v>45669</v>
      </c>
      <c r="D497" s="3" t="s">
        <v>23</v>
      </c>
      <c r="E497" s="3" t="s">
        <v>19</v>
      </c>
      <c r="F497" s="11">
        <v>15000</v>
      </c>
      <c r="G497" s="14">
        <v>1</v>
      </c>
      <c r="H497" s="3" t="s">
        <v>15</v>
      </c>
      <c r="I497" s="3" t="s">
        <v>29</v>
      </c>
      <c r="J497" s="3" t="str">
        <f>IFERROR(IF(AND(Table1[[#This Row],[Sales]]=0,Table1[[#This Row],[Quantity]]&lt;&gt;0),"Sales Missing",IF(AND(Table1[[#This Row],[Sales]]&lt;&gt;0,Table1[[#This Row],[Quantity]]=0),"Quantity Missing",IF(AND(Table1[[#This Row],[Sales]]=0,Table1[[#This Row],[Quantity]]=0),"Both Missing","Valid Response"))),"No Data")</f>
        <v>Valid Response</v>
      </c>
    </row>
    <row r="498" spans="2:10" x14ac:dyDescent="0.25">
      <c r="B498" s="17">
        <v>1493</v>
      </c>
      <c r="C498" s="4">
        <v>45670</v>
      </c>
      <c r="D498" s="3" t="s">
        <v>315</v>
      </c>
      <c r="E498" s="3" t="s">
        <v>19</v>
      </c>
      <c r="F498" s="11">
        <v>0</v>
      </c>
      <c r="G498" s="14">
        <v>0</v>
      </c>
      <c r="H498" s="3" t="s">
        <v>11</v>
      </c>
      <c r="I498" s="3" t="s">
        <v>21</v>
      </c>
      <c r="J498" s="3" t="str">
        <f>IFERROR(IF(AND(Table1[[#This Row],[Sales]]=0,Table1[[#This Row],[Quantity]]&lt;&gt;0),"Sales Missing",IF(AND(Table1[[#This Row],[Sales]]&lt;&gt;0,Table1[[#This Row],[Quantity]]=0),"Quantity Missing",IF(AND(Table1[[#This Row],[Sales]]=0,Table1[[#This Row],[Quantity]]=0),"Both Missing","Valid Response"))),"No Data")</f>
        <v>Both Missing</v>
      </c>
    </row>
    <row r="499" spans="2:10" x14ac:dyDescent="0.25">
      <c r="B499" s="17">
        <v>1494</v>
      </c>
      <c r="C499" s="4">
        <v>45671</v>
      </c>
      <c r="D499" s="3" t="s">
        <v>23</v>
      </c>
      <c r="E499" s="3" t="s">
        <v>27</v>
      </c>
      <c r="F499" s="11">
        <v>55000</v>
      </c>
      <c r="G499" s="14">
        <v>2</v>
      </c>
      <c r="H499" s="3" t="s">
        <v>28</v>
      </c>
      <c r="I499" s="3" t="s">
        <v>31</v>
      </c>
      <c r="J499" s="3" t="str">
        <f>IFERROR(IF(AND(Table1[[#This Row],[Sales]]=0,Table1[[#This Row],[Quantity]]&lt;&gt;0),"Sales Missing",IF(AND(Table1[[#This Row],[Sales]]&lt;&gt;0,Table1[[#This Row],[Quantity]]=0),"Quantity Missing",IF(AND(Table1[[#This Row],[Sales]]=0,Table1[[#This Row],[Quantity]]=0),"Both Missing","Valid Response"))),"No Data")</f>
        <v>Valid Response</v>
      </c>
    </row>
    <row r="500" spans="2:10" x14ac:dyDescent="0.25">
      <c r="B500" s="17">
        <v>1495</v>
      </c>
      <c r="C500" s="4">
        <v>45672</v>
      </c>
      <c r="D500" s="3" t="s">
        <v>23</v>
      </c>
      <c r="E500" s="3" t="s">
        <v>19</v>
      </c>
      <c r="F500" s="11">
        <v>0</v>
      </c>
      <c r="G500" s="14">
        <v>0</v>
      </c>
      <c r="H500" s="3" t="s">
        <v>34</v>
      </c>
      <c r="I500" s="3" t="s">
        <v>21</v>
      </c>
      <c r="J500" s="3" t="str">
        <f>IFERROR(IF(AND(Table1[[#This Row],[Sales]]=0,Table1[[#This Row],[Quantity]]&lt;&gt;0),"Sales Missing",IF(AND(Table1[[#This Row],[Sales]]&lt;&gt;0,Table1[[#This Row],[Quantity]]=0),"Quantity Missing",IF(AND(Table1[[#This Row],[Sales]]=0,Table1[[#This Row],[Quantity]]=0),"Both Missing","Valid Response"))),"No Data")</f>
        <v>Both Missing</v>
      </c>
    </row>
    <row r="501" spans="2:10" x14ac:dyDescent="0.25">
      <c r="B501" s="17">
        <v>1496</v>
      </c>
      <c r="C501" s="4">
        <v>45673</v>
      </c>
      <c r="D501" s="3" t="s">
        <v>33</v>
      </c>
      <c r="E501" s="3" t="s">
        <v>27</v>
      </c>
      <c r="F501" s="11">
        <v>0</v>
      </c>
      <c r="G501" s="14">
        <v>3</v>
      </c>
      <c r="H501" s="3" t="s">
        <v>46</v>
      </c>
      <c r="I501" s="3" t="s">
        <v>31</v>
      </c>
      <c r="J501" s="3" t="str">
        <f>IFERROR(IF(AND(Table1[[#This Row],[Sales]]=0,Table1[[#This Row],[Quantity]]&lt;&gt;0),"Sales Missing",IF(AND(Table1[[#This Row],[Sales]]&lt;&gt;0,Table1[[#This Row],[Quantity]]=0),"Quantity Missing",IF(AND(Table1[[#This Row],[Sales]]=0,Table1[[#This Row],[Quantity]]=0),"Both Missing","Valid Response"))),"No Data")</f>
        <v>Sales Missing</v>
      </c>
    </row>
    <row r="502" spans="2:10" x14ac:dyDescent="0.25">
      <c r="B502" s="17">
        <v>1497</v>
      </c>
      <c r="C502" s="4">
        <v>45674</v>
      </c>
      <c r="D502" s="3" t="s">
        <v>33</v>
      </c>
      <c r="E502" s="3" t="s">
        <v>10</v>
      </c>
      <c r="F502" s="11">
        <v>48000</v>
      </c>
      <c r="G502" s="14">
        <v>1</v>
      </c>
      <c r="H502" s="3" t="s">
        <v>11</v>
      </c>
      <c r="I502" s="3" t="s">
        <v>21</v>
      </c>
      <c r="J502" s="3" t="str">
        <f>IFERROR(IF(AND(Table1[[#This Row],[Sales]]=0,Table1[[#This Row],[Quantity]]&lt;&gt;0),"Sales Missing",IF(AND(Table1[[#This Row],[Sales]]&lt;&gt;0,Table1[[#This Row],[Quantity]]=0),"Quantity Missing",IF(AND(Table1[[#This Row],[Sales]]=0,Table1[[#This Row],[Quantity]]=0),"Both Missing","Valid Response"))),"No Data")</f>
        <v>Valid Response</v>
      </c>
    </row>
    <row r="503" spans="2:10" x14ac:dyDescent="0.25">
      <c r="B503" s="17">
        <v>1498</v>
      </c>
      <c r="C503" s="4">
        <v>45675</v>
      </c>
      <c r="D503" s="3" t="s">
        <v>33</v>
      </c>
      <c r="E503" s="3" t="s">
        <v>19</v>
      </c>
      <c r="F503" s="11">
        <v>21000</v>
      </c>
      <c r="G503" s="14">
        <v>3</v>
      </c>
      <c r="H503" s="3" t="s">
        <v>24</v>
      </c>
      <c r="I503" s="3" t="s">
        <v>21</v>
      </c>
      <c r="J503" s="3" t="str">
        <f>IFERROR(IF(AND(Table1[[#This Row],[Sales]]=0,Table1[[#This Row],[Quantity]]&lt;&gt;0),"Sales Missing",IF(AND(Table1[[#This Row],[Sales]]&lt;&gt;0,Table1[[#This Row],[Quantity]]=0),"Quantity Missing",IF(AND(Table1[[#This Row],[Sales]]=0,Table1[[#This Row],[Quantity]]=0),"Both Missing","Valid Response"))),"No Data")</f>
        <v>Valid Response</v>
      </c>
    </row>
    <row r="504" spans="2:10" x14ac:dyDescent="0.25">
      <c r="B504" s="17">
        <v>1499</v>
      </c>
      <c r="C504" s="4">
        <v>45676</v>
      </c>
      <c r="D504" s="3" t="s">
        <v>314</v>
      </c>
      <c r="E504" s="3" t="s">
        <v>10</v>
      </c>
      <c r="F504" s="11">
        <v>52000</v>
      </c>
      <c r="G504" s="14">
        <v>0</v>
      </c>
      <c r="H504" s="3" t="s">
        <v>11</v>
      </c>
      <c r="I504" s="3" t="s">
        <v>29</v>
      </c>
      <c r="J504" s="3" t="str">
        <f>IFERROR(IF(AND(Table1[[#This Row],[Sales]]=0,Table1[[#This Row],[Quantity]]&lt;&gt;0),"Sales Missing",IF(AND(Table1[[#This Row],[Sales]]&lt;&gt;0,Table1[[#This Row],[Quantity]]=0),"Quantity Missing",IF(AND(Table1[[#This Row],[Sales]]=0,Table1[[#This Row],[Quantity]]=0),"Both Missing","Valid Response"))),"No Data")</f>
        <v>Quantity Missing</v>
      </c>
    </row>
    <row r="505" spans="2:10" ht="15.75" thickBot="1" x14ac:dyDescent="0.3">
      <c r="B505" s="18">
        <v>1500</v>
      </c>
      <c r="C505" s="8">
        <v>45677</v>
      </c>
      <c r="D505" s="9" t="s">
        <v>33</v>
      </c>
      <c r="E505" s="9" t="s">
        <v>19</v>
      </c>
      <c r="F505" s="12">
        <v>0</v>
      </c>
      <c r="G505" s="15">
        <v>1</v>
      </c>
      <c r="H505" s="9" t="s">
        <v>11</v>
      </c>
      <c r="I505" s="9" t="s">
        <v>29</v>
      </c>
      <c r="J505" s="3" t="str">
        <f>IFERROR(IF(AND(Table1[[#This Row],[Sales]]=0,Table1[[#This Row],[Quantity]]&lt;&gt;0),"Sales Missing",IF(AND(Table1[[#This Row],[Sales]]&lt;&gt;0,Table1[[#This Row],[Quantity]]=0),"Quantity Missing",IF(AND(Table1[[#This Row],[Sales]]=0,Table1[[#This Row],[Quantity]]=0),"Both Missing","Valid Response"))),"No Data")</f>
        <v>Sales Missing</v>
      </c>
    </row>
    <row r="506" spans="2:10" ht="15.75" thickBot="1" x14ac:dyDescent="0.3">
      <c r="F506" s="7">
        <f>SUBTOTAL(109,Table1[Sales])</f>
        <v>16084000</v>
      </c>
      <c r="G506" s="23">
        <f>SUBTOTAL(109,Table1[Quantity])</f>
        <v>748</v>
      </c>
    </row>
    <row r="507" spans="2:10" x14ac:dyDescent="0.25">
      <c r="F507" s="1">
        <f>COUNT(Table1[Sales])</f>
        <v>500</v>
      </c>
      <c r="G507" s="1">
        <f>COUNT(Table1[Quantity])</f>
        <v>500</v>
      </c>
    </row>
  </sheetData>
  <mergeCells count="1">
    <mergeCell ref="D2:I3"/>
  </mergeCells>
  <conditionalFormatting sqref="B1:B1048576">
    <cfRule type="duplicateValues" dxfId="229"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74B4-B7EB-49D5-AE66-8975489C5113}">
  <dimension ref="B1:J349"/>
  <sheetViews>
    <sheetView zoomScale="90" zoomScaleNormal="90" workbookViewId="0">
      <selection activeCell="D2" sqref="D2:H3"/>
    </sheetView>
  </sheetViews>
  <sheetFormatPr defaultRowHeight="15" x14ac:dyDescent="0.25"/>
  <cols>
    <col min="2" max="2" width="13.5703125" style="88" bestFit="1" customWidth="1"/>
    <col min="3" max="3" width="17" bestFit="1" customWidth="1"/>
    <col min="4" max="4" width="11.7109375" bestFit="1" customWidth="1"/>
    <col min="5" max="5" width="13.5703125" bestFit="1" customWidth="1"/>
    <col min="6" max="6" width="12.85546875" customWidth="1"/>
    <col min="7" max="7" width="15.7109375" customWidth="1"/>
    <col min="8" max="8" width="22" bestFit="1" customWidth="1"/>
    <col min="9" max="9" width="12.7109375" bestFit="1" customWidth="1"/>
    <col min="10" max="10" width="18.28515625" bestFit="1" customWidth="1"/>
  </cols>
  <sheetData>
    <row r="1" spans="2:10" ht="15.75" thickBot="1" x14ac:dyDescent="0.3"/>
    <row r="2" spans="2:10" ht="15" customHeight="1" x14ac:dyDescent="0.25">
      <c r="D2" s="129" t="s">
        <v>342</v>
      </c>
      <c r="E2" s="130"/>
      <c r="F2" s="130"/>
      <c r="G2" s="130"/>
      <c r="H2" s="131"/>
    </row>
    <row r="3" spans="2:10" ht="15.75" customHeight="1" thickBot="1" x14ac:dyDescent="0.3">
      <c r="D3" s="132"/>
      <c r="E3" s="133"/>
      <c r="F3" s="133"/>
      <c r="G3" s="133"/>
      <c r="H3" s="134"/>
    </row>
    <row r="6" spans="2:10" ht="16.5" thickBot="1" x14ac:dyDescent="0.3">
      <c r="B6" s="101" t="s">
        <v>0</v>
      </c>
      <c r="C6" s="112" t="s">
        <v>317</v>
      </c>
      <c r="D6" s="113" t="s">
        <v>2</v>
      </c>
      <c r="E6" s="113" t="s">
        <v>3</v>
      </c>
      <c r="F6" s="102" t="s">
        <v>4</v>
      </c>
      <c r="G6" s="102" t="s">
        <v>5</v>
      </c>
      <c r="H6" s="113" t="s">
        <v>316</v>
      </c>
      <c r="I6" s="114" t="s">
        <v>7</v>
      </c>
      <c r="J6" s="103" t="s">
        <v>319</v>
      </c>
    </row>
    <row r="7" spans="2:10" ht="15.75" x14ac:dyDescent="0.25">
      <c r="B7" s="97">
        <v>1001</v>
      </c>
      <c r="C7" s="26">
        <v>45658</v>
      </c>
      <c r="D7" s="27" t="s">
        <v>314</v>
      </c>
      <c r="E7" s="27" t="s">
        <v>10</v>
      </c>
      <c r="F7" s="32">
        <v>21000</v>
      </c>
      <c r="G7" s="28">
        <v>3</v>
      </c>
      <c r="H7" s="27" t="s">
        <v>11</v>
      </c>
      <c r="I7" s="27" t="s">
        <v>21</v>
      </c>
      <c r="J7" s="99" t="s">
        <v>318</v>
      </c>
    </row>
    <row r="8" spans="2:10" ht="15.75" x14ac:dyDescent="0.25">
      <c r="B8" s="98">
        <v>1005</v>
      </c>
      <c r="C8" s="29">
        <v>45662</v>
      </c>
      <c r="D8" s="30" t="s">
        <v>33</v>
      </c>
      <c r="E8" s="30" t="s">
        <v>27</v>
      </c>
      <c r="F8" s="33">
        <v>53000</v>
      </c>
      <c r="G8" s="31">
        <v>3</v>
      </c>
      <c r="H8" s="30" t="s">
        <v>28</v>
      </c>
      <c r="I8" s="30" t="s">
        <v>29</v>
      </c>
      <c r="J8" s="100" t="s">
        <v>318</v>
      </c>
    </row>
    <row r="9" spans="2:10" ht="15.75" x14ac:dyDescent="0.25">
      <c r="B9" s="98">
        <v>1007</v>
      </c>
      <c r="C9" s="29">
        <v>45664</v>
      </c>
      <c r="D9" s="30" t="s">
        <v>33</v>
      </c>
      <c r="E9" s="30" t="s">
        <v>19</v>
      </c>
      <c r="F9" s="33">
        <v>15000</v>
      </c>
      <c r="G9" s="31">
        <v>2</v>
      </c>
      <c r="H9" s="30" t="s">
        <v>34</v>
      </c>
      <c r="I9" s="30" t="s">
        <v>21</v>
      </c>
      <c r="J9" s="100" t="s">
        <v>318</v>
      </c>
    </row>
    <row r="10" spans="2:10" ht="15.75" x14ac:dyDescent="0.25">
      <c r="B10" s="98">
        <v>1009</v>
      </c>
      <c r="C10" s="29">
        <v>45666</v>
      </c>
      <c r="D10" s="30" t="s">
        <v>23</v>
      </c>
      <c r="E10" s="30" t="s">
        <v>19</v>
      </c>
      <c r="F10" s="33">
        <v>53000</v>
      </c>
      <c r="G10" s="31">
        <v>1</v>
      </c>
      <c r="H10" s="30" t="s">
        <v>38</v>
      </c>
      <c r="I10" s="30" t="s">
        <v>21</v>
      </c>
      <c r="J10" s="100" t="s">
        <v>318</v>
      </c>
    </row>
    <row r="11" spans="2:10" ht="15.75" x14ac:dyDescent="0.25">
      <c r="B11" s="98">
        <v>1010</v>
      </c>
      <c r="C11" s="29">
        <v>45667</v>
      </c>
      <c r="D11" s="30" t="s">
        <v>314</v>
      </c>
      <c r="E11" s="30" t="s">
        <v>10</v>
      </c>
      <c r="F11" s="33">
        <v>52000</v>
      </c>
      <c r="G11" s="31">
        <v>2</v>
      </c>
      <c r="H11" s="30" t="s">
        <v>28</v>
      </c>
      <c r="I11" s="30" t="s">
        <v>53</v>
      </c>
      <c r="J11" s="100" t="s">
        <v>318</v>
      </c>
    </row>
    <row r="12" spans="2:10" ht="15.75" x14ac:dyDescent="0.25">
      <c r="B12" s="98">
        <v>1012</v>
      </c>
      <c r="C12" s="29">
        <v>45669</v>
      </c>
      <c r="D12" s="30" t="s">
        <v>23</v>
      </c>
      <c r="E12" s="30" t="s">
        <v>27</v>
      </c>
      <c r="F12" s="33">
        <v>21000</v>
      </c>
      <c r="G12" s="31">
        <v>2</v>
      </c>
      <c r="H12" s="30" t="s">
        <v>15</v>
      </c>
      <c r="I12" s="30" t="s">
        <v>21</v>
      </c>
      <c r="J12" s="100" t="s">
        <v>318</v>
      </c>
    </row>
    <row r="13" spans="2:10" ht="15.75" x14ac:dyDescent="0.25">
      <c r="B13" s="98">
        <v>1013</v>
      </c>
      <c r="C13" s="29">
        <v>45670</v>
      </c>
      <c r="D13" s="30" t="s">
        <v>315</v>
      </c>
      <c r="E13" s="30" t="s">
        <v>10</v>
      </c>
      <c r="F13" s="33">
        <v>21000</v>
      </c>
      <c r="G13" s="31">
        <v>1</v>
      </c>
      <c r="H13" s="30" t="s">
        <v>15</v>
      </c>
      <c r="I13" s="30" t="s">
        <v>29</v>
      </c>
      <c r="J13" s="100" t="s">
        <v>318</v>
      </c>
    </row>
    <row r="14" spans="2:10" ht="15.75" x14ac:dyDescent="0.25">
      <c r="B14" s="98">
        <v>1014</v>
      </c>
      <c r="C14" s="29">
        <v>45671</v>
      </c>
      <c r="D14" s="30" t="s">
        <v>314</v>
      </c>
      <c r="E14" s="30" t="s">
        <v>19</v>
      </c>
      <c r="F14" s="33">
        <v>53000</v>
      </c>
      <c r="G14" s="31">
        <v>1</v>
      </c>
      <c r="H14" s="30" t="s">
        <v>11</v>
      </c>
      <c r="I14" s="30" t="s">
        <v>21</v>
      </c>
      <c r="J14" s="100" t="s">
        <v>318</v>
      </c>
    </row>
    <row r="15" spans="2:10" ht="15.75" x14ac:dyDescent="0.25">
      <c r="B15" s="98">
        <v>1015</v>
      </c>
      <c r="C15" s="29">
        <v>45672</v>
      </c>
      <c r="D15" s="30" t="s">
        <v>45</v>
      </c>
      <c r="E15" s="30" t="s">
        <v>27</v>
      </c>
      <c r="F15" s="33">
        <v>48000</v>
      </c>
      <c r="G15" s="31">
        <v>3</v>
      </c>
      <c r="H15" s="30" t="s">
        <v>46</v>
      </c>
      <c r="I15" s="30" t="s">
        <v>21</v>
      </c>
      <c r="J15" s="100" t="s">
        <v>318</v>
      </c>
    </row>
    <row r="16" spans="2:10" ht="15.75" x14ac:dyDescent="0.25">
      <c r="B16" s="98">
        <v>1016</v>
      </c>
      <c r="C16" s="29">
        <v>45673</v>
      </c>
      <c r="D16" s="30" t="s">
        <v>314</v>
      </c>
      <c r="E16" s="30" t="s">
        <v>27</v>
      </c>
      <c r="F16" s="33">
        <v>15000</v>
      </c>
      <c r="G16" s="31">
        <v>3</v>
      </c>
      <c r="H16" s="30" t="s">
        <v>46</v>
      </c>
      <c r="I16" s="30" t="s">
        <v>29</v>
      </c>
      <c r="J16" s="100" t="s">
        <v>318</v>
      </c>
    </row>
    <row r="17" spans="2:10" ht="15.75" x14ac:dyDescent="0.25">
      <c r="B17" s="98">
        <v>1017</v>
      </c>
      <c r="C17" s="29">
        <v>45674</v>
      </c>
      <c r="D17" s="30" t="s">
        <v>23</v>
      </c>
      <c r="E17" s="30" t="s">
        <v>27</v>
      </c>
      <c r="F17" s="33">
        <v>48000</v>
      </c>
      <c r="G17" s="31">
        <v>2</v>
      </c>
      <c r="H17" s="30" t="s">
        <v>11</v>
      </c>
      <c r="I17" s="30" t="s">
        <v>21</v>
      </c>
      <c r="J17" s="100" t="s">
        <v>318</v>
      </c>
    </row>
    <row r="18" spans="2:10" ht="15.75" x14ac:dyDescent="0.25">
      <c r="B18" s="98">
        <v>1018</v>
      </c>
      <c r="C18" s="29">
        <v>45675</v>
      </c>
      <c r="D18" s="30" t="s">
        <v>23</v>
      </c>
      <c r="E18" s="30" t="s">
        <v>19</v>
      </c>
      <c r="F18" s="33">
        <v>48000</v>
      </c>
      <c r="G18" s="31">
        <v>1</v>
      </c>
      <c r="H18" s="30" t="s">
        <v>34</v>
      </c>
      <c r="I18" s="30" t="s">
        <v>21</v>
      </c>
      <c r="J18" s="100" t="s">
        <v>318</v>
      </c>
    </row>
    <row r="19" spans="2:10" ht="15.75" x14ac:dyDescent="0.25">
      <c r="B19" s="98">
        <v>1019</v>
      </c>
      <c r="C19" s="29">
        <v>45676</v>
      </c>
      <c r="D19" s="30" t="s">
        <v>33</v>
      </c>
      <c r="E19" s="30" t="s">
        <v>19</v>
      </c>
      <c r="F19" s="33">
        <v>20000</v>
      </c>
      <c r="G19" s="31">
        <v>2</v>
      </c>
      <c r="H19" s="30" t="s">
        <v>28</v>
      </c>
      <c r="I19" s="30" t="s">
        <v>53</v>
      </c>
      <c r="J19" s="100" t="s">
        <v>318</v>
      </c>
    </row>
    <row r="20" spans="2:10" ht="15.75" x14ac:dyDescent="0.25">
      <c r="B20" s="98">
        <v>1021</v>
      </c>
      <c r="C20" s="29">
        <v>45678</v>
      </c>
      <c r="D20" s="30" t="s">
        <v>45</v>
      </c>
      <c r="E20" s="30" t="s">
        <v>19</v>
      </c>
      <c r="F20" s="33">
        <v>53000</v>
      </c>
      <c r="G20" s="31">
        <v>1</v>
      </c>
      <c r="H20" s="30" t="s">
        <v>34</v>
      </c>
      <c r="I20" s="30" t="s">
        <v>31</v>
      </c>
      <c r="J20" s="100" t="s">
        <v>318</v>
      </c>
    </row>
    <row r="21" spans="2:10" ht="15.75" x14ac:dyDescent="0.25">
      <c r="B21" s="98">
        <v>1023</v>
      </c>
      <c r="C21" s="29">
        <v>45680</v>
      </c>
      <c r="D21" s="30" t="s">
        <v>23</v>
      </c>
      <c r="E21" s="30" t="s">
        <v>19</v>
      </c>
      <c r="F21" s="33">
        <v>55000</v>
      </c>
      <c r="G21" s="31">
        <v>2</v>
      </c>
      <c r="H21" s="30" t="s">
        <v>15</v>
      </c>
      <c r="I21" s="30" t="s">
        <v>21</v>
      </c>
      <c r="J21" s="100" t="s">
        <v>318</v>
      </c>
    </row>
    <row r="22" spans="2:10" ht="15.75" x14ac:dyDescent="0.25">
      <c r="B22" s="98">
        <v>1024</v>
      </c>
      <c r="C22" s="29">
        <v>45681</v>
      </c>
      <c r="D22" s="30" t="s">
        <v>23</v>
      </c>
      <c r="E22" s="30" t="s">
        <v>27</v>
      </c>
      <c r="F22" s="33">
        <v>15000</v>
      </c>
      <c r="G22" s="31">
        <v>3</v>
      </c>
      <c r="H22" s="30" t="s">
        <v>28</v>
      </c>
      <c r="I22" s="30" t="s">
        <v>21</v>
      </c>
      <c r="J22" s="100" t="s">
        <v>318</v>
      </c>
    </row>
    <row r="23" spans="2:10" ht="15.75" x14ac:dyDescent="0.25">
      <c r="B23" s="98">
        <v>1025</v>
      </c>
      <c r="C23" s="29">
        <v>45682</v>
      </c>
      <c r="D23" s="30" t="s">
        <v>45</v>
      </c>
      <c r="E23" s="30" t="s">
        <v>27</v>
      </c>
      <c r="F23" s="33">
        <v>52000</v>
      </c>
      <c r="G23" s="31">
        <v>2</v>
      </c>
      <c r="H23" s="30" t="s">
        <v>28</v>
      </c>
      <c r="I23" s="30" t="s">
        <v>21</v>
      </c>
      <c r="J23" s="100" t="s">
        <v>318</v>
      </c>
    </row>
    <row r="24" spans="2:10" ht="15.75" x14ac:dyDescent="0.25">
      <c r="B24" s="98">
        <v>1026</v>
      </c>
      <c r="C24" s="29">
        <v>45683</v>
      </c>
      <c r="D24" s="30" t="s">
        <v>33</v>
      </c>
      <c r="E24" s="30" t="s">
        <v>10</v>
      </c>
      <c r="F24" s="33">
        <v>15000</v>
      </c>
      <c r="G24" s="31">
        <v>1</v>
      </c>
      <c r="H24" s="30" t="s">
        <v>24</v>
      </c>
      <c r="I24" s="30" t="s">
        <v>53</v>
      </c>
      <c r="J24" s="100" t="s">
        <v>318</v>
      </c>
    </row>
    <row r="25" spans="2:10" ht="15.75" x14ac:dyDescent="0.25">
      <c r="B25" s="98">
        <v>1028</v>
      </c>
      <c r="C25" s="29">
        <v>45685</v>
      </c>
      <c r="D25" s="30" t="s">
        <v>23</v>
      </c>
      <c r="E25" s="30" t="s">
        <v>19</v>
      </c>
      <c r="F25" s="33">
        <v>52000</v>
      </c>
      <c r="G25" s="31">
        <v>3</v>
      </c>
      <c r="H25" s="30" t="s">
        <v>11</v>
      </c>
      <c r="I25" s="30" t="s">
        <v>53</v>
      </c>
      <c r="J25" s="100" t="s">
        <v>318</v>
      </c>
    </row>
    <row r="26" spans="2:10" ht="15.75" x14ac:dyDescent="0.25">
      <c r="B26" s="98">
        <v>1029</v>
      </c>
      <c r="C26" s="29">
        <v>45686</v>
      </c>
      <c r="D26" s="30" t="s">
        <v>23</v>
      </c>
      <c r="E26" s="30" t="s">
        <v>27</v>
      </c>
      <c r="F26" s="33">
        <v>52000</v>
      </c>
      <c r="G26" s="31">
        <v>2</v>
      </c>
      <c r="H26" s="30" t="s">
        <v>46</v>
      </c>
      <c r="I26" s="30" t="s">
        <v>21</v>
      </c>
      <c r="J26" s="100" t="s">
        <v>318</v>
      </c>
    </row>
    <row r="27" spans="2:10" ht="15.75" x14ac:dyDescent="0.25">
      <c r="B27" s="98">
        <v>1030</v>
      </c>
      <c r="C27" s="29">
        <v>45687</v>
      </c>
      <c r="D27" s="30" t="s">
        <v>45</v>
      </c>
      <c r="E27" s="30" t="s">
        <v>27</v>
      </c>
      <c r="F27" s="33">
        <v>48000</v>
      </c>
      <c r="G27" s="31">
        <v>1</v>
      </c>
      <c r="H27" s="30" t="s">
        <v>34</v>
      </c>
      <c r="I27" s="30" t="s">
        <v>21</v>
      </c>
      <c r="J27" s="100" t="s">
        <v>318</v>
      </c>
    </row>
    <row r="28" spans="2:10" ht="15.75" x14ac:dyDescent="0.25">
      <c r="B28" s="98">
        <v>1031</v>
      </c>
      <c r="C28" s="29">
        <v>45688</v>
      </c>
      <c r="D28" s="30" t="s">
        <v>315</v>
      </c>
      <c r="E28" s="30" t="s">
        <v>27</v>
      </c>
      <c r="F28" s="33">
        <v>15000</v>
      </c>
      <c r="G28" s="31">
        <v>1</v>
      </c>
      <c r="H28" s="30" t="s">
        <v>34</v>
      </c>
      <c r="I28" s="30" t="s">
        <v>53</v>
      </c>
      <c r="J28" s="100" t="s">
        <v>318</v>
      </c>
    </row>
    <row r="29" spans="2:10" ht="15.75" x14ac:dyDescent="0.25">
      <c r="B29" s="98">
        <v>1033</v>
      </c>
      <c r="C29" s="29">
        <v>45690</v>
      </c>
      <c r="D29" s="30" t="s">
        <v>315</v>
      </c>
      <c r="E29" s="30" t="s">
        <v>27</v>
      </c>
      <c r="F29" s="33">
        <v>20000</v>
      </c>
      <c r="G29" s="31">
        <v>3</v>
      </c>
      <c r="H29" s="30" t="s">
        <v>20</v>
      </c>
      <c r="I29" s="30" t="s">
        <v>21</v>
      </c>
      <c r="J29" s="100" t="s">
        <v>318</v>
      </c>
    </row>
    <row r="30" spans="2:10" ht="15.75" x14ac:dyDescent="0.25">
      <c r="B30" s="98">
        <v>1034</v>
      </c>
      <c r="C30" s="29">
        <v>45691</v>
      </c>
      <c r="D30" s="30" t="s">
        <v>315</v>
      </c>
      <c r="E30" s="30" t="s">
        <v>27</v>
      </c>
      <c r="F30" s="33">
        <v>20000</v>
      </c>
      <c r="G30" s="31">
        <v>3</v>
      </c>
      <c r="H30" s="30" t="s">
        <v>28</v>
      </c>
      <c r="I30" s="30" t="s">
        <v>53</v>
      </c>
      <c r="J30" s="100" t="s">
        <v>318</v>
      </c>
    </row>
    <row r="31" spans="2:10" ht="15.75" x14ac:dyDescent="0.25">
      <c r="B31" s="98">
        <v>1036</v>
      </c>
      <c r="C31" s="29">
        <v>45693</v>
      </c>
      <c r="D31" s="30" t="s">
        <v>314</v>
      </c>
      <c r="E31" s="30" t="s">
        <v>19</v>
      </c>
      <c r="F31" s="33">
        <v>15000</v>
      </c>
      <c r="G31" s="31">
        <v>3</v>
      </c>
      <c r="H31" s="30" t="s">
        <v>46</v>
      </c>
      <c r="I31" s="30" t="s">
        <v>31</v>
      </c>
      <c r="J31" s="100" t="s">
        <v>318</v>
      </c>
    </row>
    <row r="32" spans="2:10" ht="15.75" x14ac:dyDescent="0.25">
      <c r="B32" s="98">
        <v>1037</v>
      </c>
      <c r="C32" s="29">
        <v>45694</v>
      </c>
      <c r="D32" s="30" t="s">
        <v>314</v>
      </c>
      <c r="E32" s="30" t="s">
        <v>19</v>
      </c>
      <c r="F32" s="33">
        <v>55000</v>
      </c>
      <c r="G32" s="31">
        <v>1</v>
      </c>
      <c r="H32" s="30" t="s">
        <v>46</v>
      </c>
      <c r="I32" s="30" t="s">
        <v>53</v>
      </c>
      <c r="J32" s="100" t="s">
        <v>318</v>
      </c>
    </row>
    <row r="33" spans="2:10" ht="15.75" x14ac:dyDescent="0.25">
      <c r="B33" s="98">
        <v>1038</v>
      </c>
      <c r="C33" s="29">
        <v>45695</v>
      </c>
      <c r="D33" s="30" t="s">
        <v>23</v>
      </c>
      <c r="E33" s="30" t="s">
        <v>27</v>
      </c>
      <c r="F33" s="33">
        <v>20000</v>
      </c>
      <c r="G33" s="31">
        <v>2</v>
      </c>
      <c r="H33" s="30" t="s">
        <v>24</v>
      </c>
      <c r="I33" s="30" t="s">
        <v>29</v>
      </c>
      <c r="J33" s="100" t="s">
        <v>318</v>
      </c>
    </row>
    <row r="34" spans="2:10" ht="15.75" x14ac:dyDescent="0.25">
      <c r="B34" s="98">
        <v>1039</v>
      </c>
      <c r="C34" s="29">
        <v>45696</v>
      </c>
      <c r="D34" s="30" t="s">
        <v>23</v>
      </c>
      <c r="E34" s="30" t="s">
        <v>19</v>
      </c>
      <c r="F34" s="33">
        <v>20000</v>
      </c>
      <c r="G34" s="31">
        <v>3</v>
      </c>
      <c r="H34" s="30" t="s">
        <v>28</v>
      </c>
      <c r="I34" s="30" t="s">
        <v>53</v>
      </c>
      <c r="J34" s="100" t="s">
        <v>318</v>
      </c>
    </row>
    <row r="35" spans="2:10" ht="15.75" x14ac:dyDescent="0.25">
      <c r="B35" s="98">
        <v>1041</v>
      </c>
      <c r="C35" s="29">
        <v>45698</v>
      </c>
      <c r="D35" s="30" t="s">
        <v>33</v>
      </c>
      <c r="E35" s="30" t="s">
        <v>19</v>
      </c>
      <c r="F35" s="33">
        <v>48000</v>
      </c>
      <c r="G35" s="31">
        <v>1</v>
      </c>
      <c r="H35" s="30" t="s">
        <v>24</v>
      </c>
      <c r="I35" s="30" t="s">
        <v>31</v>
      </c>
      <c r="J35" s="100" t="s">
        <v>318</v>
      </c>
    </row>
    <row r="36" spans="2:10" ht="15.75" x14ac:dyDescent="0.25">
      <c r="B36" s="98">
        <v>1042</v>
      </c>
      <c r="C36" s="29">
        <v>45699</v>
      </c>
      <c r="D36" s="30" t="s">
        <v>23</v>
      </c>
      <c r="E36" s="30" t="s">
        <v>27</v>
      </c>
      <c r="F36" s="33">
        <v>55000</v>
      </c>
      <c r="G36" s="31">
        <v>3</v>
      </c>
      <c r="H36" s="30" t="s">
        <v>24</v>
      </c>
      <c r="I36" s="30" t="s">
        <v>21</v>
      </c>
      <c r="J36" s="100" t="s">
        <v>318</v>
      </c>
    </row>
    <row r="37" spans="2:10" ht="15.75" x14ac:dyDescent="0.25">
      <c r="B37" s="98">
        <v>1043</v>
      </c>
      <c r="C37" s="29">
        <v>45700</v>
      </c>
      <c r="D37" s="30" t="s">
        <v>23</v>
      </c>
      <c r="E37" s="30" t="s">
        <v>19</v>
      </c>
      <c r="F37" s="33">
        <v>20000</v>
      </c>
      <c r="G37" s="31">
        <v>2</v>
      </c>
      <c r="H37" s="30" t="s">
        <v>38</v>
      </c>
      <c r="I37" s="30" t="s">
        <v>53</v>
      </c>
      <c r="J37" s="100" t="s">
        <v>318</v>
      </c>
    </row>
    <row r="38" spans="2:10" ht="15.75" x14ac:dyDescent="0.25">
      <c r="B38" s="98">
        <v>1044</v>
      </c>
      <c r="C38" s="29">
        <v>45701</v>
      </c>
      <c r="D38" s="30" t="s">
        <v>23</v>
      </c>
      <c r="E38" s="30" t="s">
        <v>27</v>
      </c>
      <c r="F38" s="33">
        <v>48000</v>
      </c>
      <c r="G38" s="31">
        <v>2</v>
      </c>
      <c r="H38" s="30" t="s">
        <v>38</v>
      </c>
      <c r="I38" s="30" t="s">
        <v>29</v>
      </c>
      <c r="J38" s="100" t="s">
        <v>318</v>
      </c>
    </row>
    <row r="39" spans="2:10" ht="15.75" x14ac:dyDescent="0.25">
      <c r="B39" s="98">
        <v>1045</v>
      </c>
      <c r="C39" s="29">
        <v>45702</v>
      </c>
      <c r="D39" s="30" t="s">
        <v>45</v>
      </c>
      <c r="E39" s="30" t="s">
        <v>19</v>
      </c>
      <c r="F39" s="33">
        <v>53000</v>
      </c>
      <c r="G39" s="31">
        <v>3</v>
      </c>
      <c r="H39" s="30" t="s">
        <v>46</v>
      </c>
      <c r="I39" s="30" t="s">
        <v>21</v>
      </c>
      <c r="J39" s="100" t="s">
        <v>318</v>
      </c>
    </row>
    <row r="40" spans="2:10" ht="15.75" x14ac:dyDescent="0.25">
      <c r="B40" s="98">
        <v>1046</v>
      </c>
      <c r="C40" s="29">
        <v>45703</v>
      </c>
      <c r="D40" s="30" t="s">
        <v>23</v>
      </c>
      <c r="E40" s="30" t="s">
        <v>19</v>
      </c>
      <c r="F40" s="33">
        <v>48000</v>
      </c>
      <c r="G40" s="31">
        <v>2</v>
      </c>
      <c r="H40" s="30" t="s">
        <v>15</v>
      </c>
      <c r="I40" s="30" t="s">
        <v>31</v>
      </c>
      <c r="J40" s="100" t="s">
        <v>318</v>
      </c>
    </row>
    <row r="41" spans="2:10" ht="15.75" x14ac:dyDescent="0.25">
      <c r="B41" s="98">
        <v>1047</v>
      </c>
      <c r="C41" s="29">
        <v>45704</v>
      </c>
      <c r="D41" s="30" t="s">
        <v>23</v>
      </c>
      <c r="E41" s="30" t="s">
        <v>10</v>
      </c>
      <c r="F41" s="33">
        <v>55000</v>
      </c>
      <c r="G41" s="31">
        <v>3</v>
      </c>
      <c r="H41" s="30" t="s">
        <v>38</v>
      </c>
      <c r="I41" s="30" t="s">
        <v>21</v>
      </c>
      <c r="J41" s="100" t="s">
        <v>318</v>
      </c>
    </row>
    <row r="42" spans="2:10" ht="15.75" x14ac:dyDescent="0.25">
      <c r="B42" s="98">
        <v>1050</v>
      </c>
      <c r="C42" s="29">
        <v>45707</v>
      </c>
      <c r="D42" s="30" t="s">
        <v>23</v>
      </c>
      <c r="E42" s="30" t="s">
        <v>19</v>
      </c>
      <c r="F42" s="33">
        <v>15000</v>
      </c>
      <c r="G42" s="31">
        <v>1</v>
      </c>
      <c r="H42" s="30" t="s">
        <v>38</v>
      </c>
      <c r="I42" s="30" t="s">
        <v>31</v>
      </c>
      <c r="J42" s="100" t="s">
        <v>318</v>
      </c>
    </row>
    <row r="43" spans="2:10" ht="15.75" x14ac:dyDescent="0.25">
      <c r="B43" s="98">
        <v>1052</v>
      </c>
      <c r="C43" s="29">
        <v>45709</v>
      </c>
      <c r="D43" s="30" t="s">
        <v>314</v>
      </c>
      <c r="E43" s="30" t="s">
        <v>19</v>
      </c>
      <c r="F43" s="33">
        <v>52000</v>
      </c>
      <c r="G43" s="31">
        <v>1</v>
      </c>
      <c r="H43" s="30" t="s">
        <v>11</v>
      </c>
      <c r="I43" s="30" t="s">
        <v>53</v>
      </c>
      <c r="J43" s="100" t="s">
        <v>318</v>
      </c>
    </row>
    <row r="44" spans="2:10" ht="15.75" x14ac:dyDescent="0.25">
      <c r="B44" s="98">
        <v>1053</v>
      </c>
      <c r="C44" s="29">
        <v>45710</v>
      </c>
      <c r="D44" s="30" t="s">
        <v>33</v>
      </c>
      <c r="E44" s="30" t="s">
        <v>27</v>
      </c>
      <c r="F44" s="33">
        <v>55000</v>
      </c>
      <c r="G44" s="31">
        <v>3</v>
      </c>
      <c r="H44" s="30" t="s">
        <v>38</v>
      </c>
      <c r="I44" s="30" t="s">
        <v>53</v>
      </c>
      <c r="J44" s="100" t="s">
        <v>318</v>
      </c>
    </row>
    <row r="45" spans="2:10" ht="15.75" x14ac:dyDescent="0.25">
      <c r="B45" s="98">
        <v>1054</v>
      </c>
      <c r="C45" s="29">
        <v>45711</v>
      </c>
      <c r="D45" s="30" t="s">
        <v>314</v>
      </c>
      <c r="E45" s="30" t="s">
        <v>19</v>
      </c>
      <c r="F45" s="33">
        <v>21000</v>
      </c>
      <c r="G45" s="31">
        <v>1</v>
      </c>
      <c r="H45" s="30" t="s">
        <v>28</v>
      </c>
      <c r="I45" s="30" t="s">
        <v>31</v>
      </c>
      <c r="J45" s="100" t="s">
        <v>318</v>
      </c>
    </row>
    <row r="46" spans="2:10" ht="15.75" x14ac:dyDescent="0.25">
      <c r="B46" s="98">
        <v>1055</v>
      </c>
      <c r="C46" s="29">
        <v>45712</v>
      </c>
      <c r="D46" s="30" t="s">
        <v>33</v>
      </c>
      <c r="E46" s="30" t="s">
        <v>19</v>
      </c>
      <c r="F46" s="33">
        <v>55000</v>
      </c>
      <c r="G46" s="31">
        <v>2</v>
      </c>
      <c r="H46" s="30" t="s">
        <v>38</v>
      </c>
      <c r="I46" s="30" t="s">
        <v>29</v>
      </c>
      <c r="J46" s="100" t="s">
        <v>318</v>
      </c>
    </row>
    <row r="47" spans="2:10" ht="15.75" x14ac:dyDescent="0.25">
      <c r="B47" s="98">
        <v>1056</v>
      </c>
      <c r="C47" s="29">
        <v>45713</v>
      </c>
      <c r="D47" s="30" t="s">
        <v>33</v>
      </c>
      <c r="E47" s="30" t="s">
        <v>27</v>
      </c>
      <c r="F47" s="33">
        <v>48000</v>
      </c>
      <c r="G47" s="31">
        <v>2</v>
      </c>
      <c r="H47" s="30" t="s">
        <v>28</v>
      </c>
      <c r="I47" s="30" t="s">
        <v>53</v>
      </c>
      <c r="J47" s="100" t="s">
        <v>318</v>
      </c>
    </row>
    <row r="48" spans="2:10" ht="15.75" x14ac:dyDescent="0.25">
      <c r="B48" s="98">
        <v>1057</v>
      </c>
      <c r="C48" s="29">
        <v>45714</v>
      </c>
      <c r="D48" s="30" t="s">
        <v>315</v>
      </c>
      <c r="E48" s="30" t="s">
        <v>27</v>
      </c>
      <c r="F48" s="33">
        <v>52000</v>
      </c>
      <c r="G48" s="31">
        <v>2</v>
      </c>
      <c r="H48" s="30" t="s">
        <v>24</v>
      </c>
      <c r="I48" s="30" t="s">
        <v>53</v>
      </c>
      <c r="J48" s="100" t="s">
        <v>318</v>
      </c>
    </row>
    <row r="49" spans="2:10" ht="15.75" x14ac:dyDescent="0.25">
      <c r="B49" s="98">
        <v>1058</v>
      </c>
      <c r="C49" s="29">
        <v>45715</v>
      </c>
      <c r="D49" s="30" t="s">
        <v>23</v>
      </c>
      <c r="E49" s="30" t="s">
        <v>27</v>
      </c>
      <c r="F49" s="33">
        <v>21000</v>
      </c>
      <c r="G49" s="31">
        <v>2</v>
      </c>
      <c r="H49" s="30" t="s">
        <v>11</v>
      </c>
      <c r="I49" s="30" t="s">
        <v>53</v>
      </c>
      <c r="J49" s="100" t="s">
        <v>318</v>
      </c>
    </row>
    <row r="50" spans="2:10" ht="15.75" x14ac:dyDescent="0.25">
      <c r="B50" s="98">
        <v>1059</v>
      </c>
      <c r="C50" s="29">
        <v>45716</v>
      </c>
      <c r="D50" s="30" t="s">
        <v>315</v>
      </c>
      <c r="E50" s="30" t="s">
        <v>27</v>
      </c>
      <c r="F50" s="33">
        <v>48000</v>
      </c>
      <c r="G50" s="31">
        <v>3</v>
      </c>
      <c r="H50" s="30" t="s">
        <v>28</v>
      </c>
      <c r="I50" s="30" t="s">
        <v>53</v>
      </c>
      <c r="J50" s="100" t="s">
        <v>318</v>
      </c>
    </row>
    <row r="51" spans="2:10" ht="15.75" x14ac:dyDescent="0.25">
      <c r="B51" s="98">
        <v>1061</v>
      </c>
      <c r="C51" s="29">
        <v>45718</v>
      </c>
      <c r="D51" s="30" t="s">
        <v>23</v>
      </c>
      <c r="E51" s="30" t="s">
        <v>27</v>
      </c>
      <c r="F51" s="33">
        <v>21000</v>
      </c>
      <c r="G51" s="31">
        <v>2</v>
      </c>
      <c r="H51" s="30" t="s">
        <v>24</v>
      </c>
      <c r="I51" s="30" t="s">
        <v>53</v>
      </c>
      <c r="J51" s="100" t="s">
        <v>318</v>
      </c>
    </row>
    <row r="52" spans="2:10" ht="15.75" x14ac:dyDescent="0.25">
      <c r="B52" s="98">
        <v>1062</v>
      </c>
      <c r="C52" s="29">
        <v>45719</v>
      </c>
      <c r="D52" s="30" t="s">
        <v>33</v>
      </c>
      <c r="E52" s="30" t="s">
        <v>19</v>
      </c>
      <c r="F52" s="33">
        <v>55000</v>
      </c>
      <c r="G52" s="31">
        <v>3</v>
      </c>
      <c r="H52" s="30" t="s">
        <v>34</v>
      </c>
      <c r="I52" s="30" t="s">
        <v>21</v>
      </c>
      <c r="J52" s="100" t="s">
        <v>318</v>
      </c>
    </row>
    <row r="53" spans="2:10" ht="15.75" x14ac:dyDescent="0.25">
      <c r="B53" s="98">
        <v>1064</v>
      </c>
      <c r="C53" s="29">
        <v>45721</v>
      </c>
      <c r="D53" s="30" t="s">
        <v>23</v>
      </c>
      <c r="E53" s="30" t="s">
        <v>27</v>
      </c>
      <c r="F53" s="33">
        <v>21000</v>
      </c>
      <c r="G53" s="31">
        <v>2</v>
      </c>
      <c r="H53" s="30" t="s">
        <v>38</v>
      </c>
      <c r="I53" s="30" t="s">
        <v>21</v>
      </c>
      <c r="J53" s="100" t="s">
        <v>318</v>
      </c>
    </row>
    <row r="54" spans="2:10" ht="15.75" x14ac:dyDescent="0.25">
      <c r="B54" s="98">
        <v>1066</v>
      </c>
      <c r="C54" s="29">
        <v>45723</v>
      </c>
      <c r="D54" s="30" t="s">
        <v>33</v>
      </c>
      <c r="E54" s="30" t="s">
        <v>19</v>
      </c>
      <c r="F54" s="33">
        <v>21000</v>
      </c>
      <c r="G54" s="31">
        <v>3</v>
      </c>
      <c r="H54" s="30" t="s">
        <v>20</v>
      </c>
      <c r="I54" s="30" t="s">
        <v>29</v>
      </c>
      <c r="J54" s="100" t="s">
        <v>318</v>
      </c>
    </row>
    <row r="55" spans="2:10" ht="15.75" x14ac:dyDescent="0.25">
      <c r="B55" s="98">
        <v>1067</v>
      </c>
      <c r="C55" s="29">
        <v>45724</v>
      </c>
      <c r="D55" s="30" t="s">
        <v>23</v>
      </c>
      <c r="E55" s="30" t="s">
        <v>19</v>
      </c>
      <c r="F55" s="33">
        <v>53000</v>
      </c>
      <c r="G55" s="31">
        <v>1</v>
      </c>
      <c r="H55" s="30" t="s">
        <v>11</v>
      </c>
      <c r="I55" s="30" t="s">
        <v>29</v>
      </c>
      <c r="J55" s="100" t="s">
        <v>318</v>
      </c>
    </row>
    <row r="56" spans="2:10" ht="15.75" x14ac:dyDescent="0.25">
      <c r="B56" s="98">
        <v>1068</v>
      </c>
      <c r="C56" s="29">
        <v>45725</v>
      </c>
      <c r="D56" s="30" t="s">
        <v>315</v>
      </c>
      <c r="E56" s="30" t="s">
        <v>19</v>
      </c>
      <c r="F56" s="33">
        <v>20000</v>
      </c>
      <c r="G56" s="31">
        <v>3</v>
      </c>
      <c r="H56" s="30" t="s">
        <v>11</v>
      </c>
      <c r="I56" s="30" t="s">
        <v>53</v>
      </c>
      <c r="J56" s="100" t="s">
        <v>318</v>
      </c>
    </row>
    <row r="57" spans="2:10" ht="15.75" x14ac:dyDescent="0.25">
      <c r="B57" s="98">
        <v>1069</v>
      </c>
      <c r="C57" s="29">
        <v>45726</v>
      </c>
      <c r="D57" s="30" t="s">
        <v>314</v>
      </c>
      <c r="E57" s="30" t="s">
        <v>19</v>
      </c>
      <c r="F57" s="33">
        <v>55000</v>
      </c>
      <c r="G57" s="31">
        <v>1</v>
      </c>
      <c r="H57" s="30" t="s">
        <v>34</v>
      </c>
      <c r="I57" s="30" t="s">
        <v>53</v>
      </c>
      <c r="J57" s="100" t="s">
        <v>318</v>
      </c>
    </row>
    <row r="58" spans="2:10" ht="15.75" x14ac:dyDescent="0.25">
      <c r="B58" s="98">
        <v>1073</v>
      </c>
      <c r="C58" s="29">
        <v>45730</v>
      </c>
      <c r="D58" s="30" t="s">
        <v>33</v>
      </c>
      <c r="E58" s="30" t="s">
        <v>19</v>
      </c>
      <c r="F58" s="33">
        <v>21000</v>
      </c>
      <c r="G58" s="31">
        <v>2</v>
      </c>
      <c r="H58" s="30" t="s">
        <v>20</v>
      </c>
      <c r="I58" s="30" t="s">
        <v>31</v>
      </c>
      <c r="J58" s="100" t="s">
        <v>318</v>
      </c>
    </row>
    <row r="59" spans="2:10" ht="15.75" x14ac:dyDescent="0.25">
      <c r="B59" s="98">
        <v>1075</v>
      </c>
      <c r="C59" s="29">
        <v>45732</v>
      </c>
      <c r="D59" s="30" t="s">
        <v>23</v>
      </c>
      <c r="E59" s="30" t="s">
        <v>27</v>
      </c>
      <c r="F59" s="33">
        <v>21000</v>
      </c>
      <c r="G59" s="31">
        <v>1</v>
      </c>
      <c r="H59" s="30" t="s">
        <v>34</v>
      </c>
      <c r="I59" s="30" t="s">
        <v>29</v>
      </c>
      <c r="J59" s="100" t="s">
        <v>318</v>
      </c>
    </row>
    <row r="60" spans="2:10" ht="15.75" x14ac:dyDescent="0.25">
      <c r="B60" s="98">
        <v>1077</v>
      </c>
      <c r="C60" s="29">
        <v>45734</v>
      </c>
      <c r="D60" s="30" t="s">
        <v>33</v>
      </c>
      <c r="E60" s="30" t="s">
        <v>27</v>
      </c>
      <c r="F60" s="33">
        <v>21000</v>
      </c>
      <c r="G60" s="31">
        <v>3</v>
      </c>
      <c r="H60" s="30" t="s">
        <v>34</v>
      </c>
      <c r="I60" s="30" t="s">
        <v>31</v>
      </c>
      <c r="J60" s="100" t="s">
        <v>318</v>
      </c>
    </row>
    <row r="61" spans="2:10" ht="15.75" x14ac:dyDescent="0.25">
      <c r="B61" s="98">
        <v>1078</v>
      </c>
      <c r="C61" s="29">
        <v>45735</v>
      </c>
      <c r="D61" s="30" t="s">
        <v>33</v>
      </c>
      <c r="E61" s="30" t="s">
        <v>27</v>
      </c>
      <c r="F61" s="33">
        <v>52000</v>
      </c>
      <c r="G61" s="31">
        <v>3</v>
      </c>
      <c r="H61" s="30" t="s">
        <v>20</v>
      </c>
      <c r="I61" s="30" t="s">
        <v>31</v>
      </c>
      <c r="J61" s="100" t="s">
        <v>318</v>
      </c>
    </row>
    <row r="62" spans="2:10" ht="15.75" x14ac:dyDescent="0.25">
      <c r="B62" s="98">
        <v>1080</v>
      </c>
      <c r="C62" s="29">
        <v>45737</v>
      </c>
      <c r="D62" s="30" t="s">
        <v>33</v>
      </c>
      <c r="E62" s="30" t="s">
        <v>27</v>
      </c>
      <c r="F62" s="33">
        <v>55000</v>
      </c>
      <c r="G62" s="31">
        <v>1</v>
      </c>
      <c r="H62" s="30" t="s">
        <v>28</v>
      </c>
      <c r="I62" s="30" t="s">
        <v>29</v>
      </c>
      <c r="J62" s="100" t="s">
        <v>318</v>
      </c>
    </row>
    <row r="63" spans="2:10" ht="15.75" x14ac:dyDescent="0.25">
      <c r="B63" s="98">
        <v>1081</v>
      </c>
      <c r="C63" s="29">
        <v>45738</v>
      </c>
      <c r="D63" s="30" t="s">
        <v>23</v>
      </c>
      <c r="E63" s="30" t="s">
        <v>19</v>
      </c>
      <c r="F63" s="33">
        <v>53000</v>
      </c>
      <c r="G63" s="31">
        <v>3</v>
      </c>
      <c r="H63" s="30" t="s">
        <v>28</v>
      </c>
      <c r="I63" s="30" t="s">
        <v>21</v>
      </c>
      <c r="J63" s="100" t="s">
        <v>318</v>
      </c>
    </row>
    <row r="64" spans="2:10" ht="15.75" x14ac:dyDescent="0.25">
      <c r="B64" s="98">
        <v>1082</v>
      </c>
      <c r="C64" s="29">
        <v>45739</v>
      </c>
      <c r="D64" s="30" t="s">
        <v>314</v>
      </c>
      <c r="E64" s="30" t="s">
        <v>19</v>
      </c>
      <c r="F64" s="33">
        <v>21000</v>
      </c>
      <c r="G64" s="31">
        <v>2</v>
      </c>
      <c r="H64" s="30" t="s">
        <v>11</v>
      </c>
      <c r="I64" s="30" t="s">
        <v>29</v>
      </c>
      <c r="J64" s="100" t="s">
        <v>318</v>
      </c>
    </row>
    <row r="65" spans="2:10" ht="15.75" x14ac:dyDescent="0.25">
      <c r="B65" s="98">
        <v>1085</v>
      </c>
      <c r="C65" s="29">
        <v>45742</v>
      </c>
      <c r="D65" s="30" t="s">
        <v>33</v>
      </c>
      <c r="E65" s="30" t="s">
        <v>19</v>
      </c>
      <c r="F65" s="33">
        <v>55000</v>
      </c>
      <c r="G65" s="31">
        <v>2</v>
      </c>
      <c r="H65" s="30" t="s">
        <v>24</v>
      </c>
      <c r="I65" s="30" t="s">
        <v>31</v>
      </c>
      <c r="J65" s="100" t="s">
        <v>318</v>
      </c>
    </row>
    <row r="66" spans="2:10" ht="15.75" x14ac:dyDescent="0.25">
      <c r="B66" s="98">
        <v>1086</v>
      </c>
      <c r="C66" s="29">
        <v>45743</v>
      </c>
      <c r="D66" s="30" t="s">
        <v>33</v>
      </c>
      <c r="E66" s="30" t="s">
        <v>19</v>
      </c>
      <c r="F66" s="33">
        <v>21000</v>
      </c>
      <c r="G66" s="31">
        <v>3</v>
      </c>
      <c r="H66" s="30" t="s">
        <v>11</v>
      </c>
      <c r="I66" s="30" t="s">
        <v>21</v>
      </c>
      <c r="J66" s="100" t="s">
        <v>318</v>
      </c>
    </row>
    <row r="67" spans="2:10" ht="15.75" x14ac:dyDescent="0.25">
      <c r="B67" s="98">
        <v>1087</v>
      </c>
      <c r="C67" s="29">
        <v>45744</v>
      </c>
      <c r="D67" s="30" t="s">
        <v>33</v>
      </c>
      <c r="E67" s="30" t="s">
        <v>10</v>
      </c>
      <c r="F67" s="33">
        <v>55000</v>
      </c>
      <c r="G67" s="31">
        <v>3</v>
      </c>
      <c r="H67" s="30" t="s">
        <v>24</v>
      </c>
      <c r="I67" s="30" t="s">
        <v>53</v>
      </c>
      <c r="J67" s="100" t="s">
        <v>318</v>
      </c>
    </row>
    <row r="68" spans="2:10" ht="15.75" x14ac:dyDescent="0.25">
      <c r="B68" s="98">
        <v>1088</v>
      </c>
      <c r="C68" s="29">
        <v>45745</v>
      </c>
      <c r="D68" s="30" t="s">
        <v>45</v>
      </c>
      <c r="E68" s="30" t="s">
        <v>10</v>
      </c>
      <c r="F68" s="33">
        <v>53000</v>
      </c>
      <c r="G68" s="31">
        <v>3</v>
      </c>
      <c r="H68" s="30" t="s">
        <v>20</v>
      </c>
      <c r="I68" s="30" t="s">
        <v>21</v>
      </c>
      <c r="J68" s="100" t="s">
        <v>318</v>
      </c>
    </row>
    <row r="69" spans="2:10" ht="15.75" x14ac:dyDescent="0.25">
      <c r="B69" s="98">
        <v>1089</v>
      </c>
      <c r="C69" s="29">
        <v>45746</v>
      </c>
      <c r="D69" s="30" t="s">
        <v>315</v>
      </c>
      <c r="E69" s="30" t="s">
        <v>10</v>
      </c>
      <c r="F69" s="33">
        <v>20000</v>
      </c>
      <c r="G69" s="31">
        <v>2</v>
      </c>
      <c r="H69" s="30" t="s">
        <v>46</v>
      </c>
      <c r="I69" s="30" t="s">
        <v>29</v>
      </c>
      <c r="J69" s="100" t="s">
        <v>318</v>
      </c>
    </row>
    <row r="70" spans="2:10" ht="15.75" x14ac:dyDescent="0.25">
      <c r="B70" s="98">
        <v>1091</v>
      </c>
      <c r="C70" s="29">
        <v>45748</v>
      </c>
      <c r="D70" s="30" t="s">
        <v>33</v>
      </c>
      <c r="E70" s="30" t="s">
        <v>27</v>
      </c>
      <c r="F70" s="33">
        <v>20000</v>
      </c>
      <c r="G70" s="31">
        <v>2</v>
      </c>
      <c r="H70" s="30" t="s">
        <v>38</v>
      </c>
      <c r="I70" s="30" t="s">
        <v>53</v>
      </c>
      <c r="J70" s="100" t="s">
        <v>318</v>
      </c>
    </row>
    <row r="71" spans="2:10" ht="15.75" x14ac:dyDescent="0.25">
      <c r="B71" s="98">
        <v>1092</v>
      </c>
      <c r="C71" s="29">
        <v>45749</v>
      </c>
      <c r="D71" s="30" t="s">
        <v>33</v>
      </c>
      <c r="E71" s="30" t="s">
        <v>19</v>
      </c>
      <c r="F71" s="33">
        <v>21000</v>
      </c>
      <c r="G71" s="31">
        <v>2</v>
      </c>
      <c r="H71" s="30" t="s">
        <v>46</v>
      </c>
      <c r="I71" s="30" t="s">
        <v>21</v>
      </c>
      <c r="J71" s="100" t="s">
        <v>318</v>
      </c>
    </row>
    <row r="72" spans="2:10" ht="15.75" x14ac:dyDescent="0.25">
      <c r="B72" s="98">
        <v>1093</v>
      </c>
      <c r="C72" s="29">
        <v>45750</v>
      </c>
      <c r="D72" s="30" t="s">
        <v>45</v>
      </c>
      <c r="E72" s="30" t="s">
        <v>19</v>
      </c>
      <c r="F72" s="33">
        <v>21000</v>
      </c>
      <c r="G72" s="31">
        <v>1</v>
      </c>
      <c r="H72" s="30" t="s">
        <v>34</v>
      </c>
      <c r="I72" s="30" t="s">
        <v>21</v>
      </c>
      <c r="J72" s="100" t="s">
        <v>318</v>
      </c>
    </row>
    <row r="73" spans="2:10" ht="15.75" x14ac:dyDescent="0.25">
      <c r="B73" s="98">
        <v>1095</v>
      </c>
      <c r="C73" s="29">
        <v>45752</v>
      </c>
      <c r="D73" s="30" t="s">
        <v>23</v>
      </c>
      <c r="E73" s="30" t="s">
        <v>27</v>
      </c>
      <c r="F73" s="33">
        <v>55000</v>
      </c>
      <c r="G73" s="31">
        <v>1</v>
      </c>
      <c r="H73" s="30" t="s">
        <v>28</v>
      </c>
      <c r="I73" s="30" t="s">
        <v>53</v>
      </c>
      <c r="J73" s="100" t="s">
        <v>318</v>
      </c>
    </row>
    <row r="74" spans="2:10" ht="15.75" x14ac:dyDescent="0.25">
      <c r="B74" s="98">
        <v>1096</v>
      </c>
      <c r="C74" s="29">
        <v>45753</v>
      </c>
      <c r="D74" s="30" t="s">
        <v>45</v>
      </c>
      <c r="E74" s="30" t="s">
        <v>19</v>
      </c>
      <c r="F74" s="33">
        <v>15000</v>
      </c>
      <c r="G74" s="31">
        <v>1</v>
      </c>
      <c r="H74" s="30" t="s">
        <v>24</v>
      </c>
      <c r="I74" s="30" t="s">
        <v>21</v>
      </c>
      <c r="J74" s="100" t="s">
        <v>318</v>
      </c>
    </row>
    <row r="75" spans="2:10" ht="15.75" x14ac:dyDescent="0.25">
      <c r="B75" s="98">
        <v>1097</v>
      </c>
      <c r="C75" s="29">
        <v>45754</v>
      </c>
      <c r="D75" s="30" t="s">
        <v>23</v>
      </c>
      <c r="E75" s="30" t="s">
        <v>19</v>
      </c>
      <c r="F75" s="33">
        <v>48000</v>
      </c>
      <c r="G75" s="31">
        <v>3</v>
      </c>
      <c r="H75" s="30" t="s">
        <v>28</v>
      </c>
      <c r="I75" s="30" t="s">
        <v>53</v>
      </c>
      <c r="J75" s="100" t="s">
        <v>318</v>
      </c>
    </row>
    <row r="76" spans="2:10" ht="15.75" x14ac:dyDescent="0.25">
      <c r="B76" s="98">
        <v>1098</v>
      </c>
      <c r="C76" s="29">
        <v>45755</v>
      </c>
      <c r="D76" s="30" t="s">
        <v>314</v>
      </c>
      <c r="E76" s="30" t="s">
        <v>19</v>
      </c>
      <c r="F76" s="33">
        <v>15000</v>
      </c>
      <c r="G76" s="31">
        <v>1</v>
      </c>
      <c r="H76" s="30" t="s">
        <v>11</v>
      </c>
      <c r="I76" s="30" t="s">
        <v>53</v>
      </c>
      <c r="J76" s="100" t="s">
        <v>318</v>
      </c>
    </row>
    <row r="77" spans="2:10" ht="15.75" x14ac:dyDescent="0.25">
      <c r="B77" s="98">
        <v>1099</v>
      </c>
      <c r="C77" s="29">
        <v>45756</v>
      </c>
      <c r="D77" s="30" t="s">
        <v>45</v>
      </c>
      <c r="E77" s="30" t="s">
        <v>27</v>
      </c>
      <c r="F77" s="33">
        <v>21000</v>
      </c>
      <c r="G77" s="31">
        <v>2</v>
      </c>
      <c r="H77" s="30" t="s">
        <v>11</v>
      </c>
      <c r="I77" s="30" t="s">
        <v>21</v>
      </c>
      <c r="J77" s="100" t="s">
        <v>318</v>
      </c>
    </row>
    <row r="78" spans="2:10" ht="15.75" x14ac:dyDescent="0.25">
      <c r="B78" s="98">
        <v>1100</v>
      </c>
      <c r="C78" s="29">
        <v>45757</v>
      </c>
      <c r="D78" s="30" t="s">
        <v>23</v>
      </c>
      <c r="E78" s="30" t="s">
        <v>19</v>
      </c>
      <c r="F78" s="33">
        <v>55000</v>
      </c>
      <c r="G78" s="31">
        <v>3</v>
      </c>
      <c r="H78" s="30" t="s">
        <v>38</v>
      </c>
      <c r="I78" s="30" t="s">
        <v>29</v>
      </c>
      <c r="J78" s="100" t="s">
        <v>318</v>
      </c>
    </row>
    <row r="79" spans="2:10" ht="15.75" x14ac:dyDescent="0.25">
      <c r="B79" s="98">
        <v>1104</v>
      </c>
      <c r="C79" s="29">
        <v>45761</v>
      </c>
      <c r="D79" s="30" t="s">
        <v>315</v>
      </c>
      <c r="E79" s="30" t="s">
        <v>19</v>
      </c>
      <c r="F79" s="33">
        <v>48000</v>
      </c>
      <c r="G79" s="31">
        <v>3</v>
      </c>
      <c r="H79" s="30" t="s">
        <v>28</v>
      </c>
      <c r="I79" s="30" t="s">
        <v>21</v>
      </c>
      <c r="J79" s="100" t="s">
        <v>318</v>
      </c>
    </row>
    <row r="80" spans="2:10" ht="15.75" x14ac:dyDescent="0.25">
      <c r="B80" s="98">
        <v>1106</v>
      </c>
      <c r="C80" s="29">
        <v>45763</v>
      </c>
      <c r="D80" s="30" t="s">
        <v>45</v>
      </c>
      <c r="E80" s="30" t="s">
        <v>27</v>
      </c>
      <c r="F80" s="33">
        <v>48000</v>
      </c>
      <c r="G80" s="31">
        <v>2</v>
      </c>
      <c r="H80" s="30" t="s">
        <v>20</v>
      </c>
      <c r="I80" s="30" t="s">
        <v>21</v>
      </c>
      <c r="J80" s="100" t="s">
        <v>318</v>
      </c>
    </row>
    <row r="81" spans="2:10" ht="15.75" x14ac:dyDescent="0.25">
      <c r="B81" s="98">
        <v>1107</v>
      </c>
      <c r="C81" s="29">
        <v>45764</v>
      </c>
      <c r="D81" s="30" t="s">
        <v>23</v>
      </c>
      <c r="E81" s="30" t="s">
        <v>19</v>
      </c>
      <c r="F81" s="33">
        <v>52000</v>
      </c>
      <c r="G81" s="31">
        <v>1</v>
      </c>
      <c r="H81" s="30" t="s">
        <v>34</v>
      </c>
      <c r="I81" s="30" t="s">
        <v>53</v>
      </c>
      <c r="J81" s="100" t="s">
        <v>318</v>
      </c>
    </row>
    <row r="82" spans="2:10" ht="15.75" x14ac:dyDescent="0.25">
      <c r="B82" s="98">
        <v>1109</v>
      </c>
      <c r="C82" s="29">
        <v>45766</v>
      </c>
      <c r="D82" s="30" t="s">
        <v>45</v>
      </c>
      <c r="E82" s="30" t="s">
        <v>19</v>
      </c>
      <c r="F82" s="33">
        <v>15000</v>
      </c>
      <c r="G82" s="31">
        <v>1</v>
      </c>
      <c r="H82" s="30" t="s">
        <v>38</v>
      </c>
      <c r="I82" s="30" t="s">
        <v>31</v>
      </c>
      <c r="J82" s="100" t="s">
        <v>318</v>
      </c>
    </row>
    <row r="83" spans="2:10" ht="15.75" x14ac:dyDescent="0.25">
      <c r="B83" s="98">
        <v>1111</v>
      </c>
      <c r="C83" s="29">
        <v>45768</v>
      </c>
      <c r="D83" s="30" t="s">
        <v>315</v>
      </c>
      <c r="E83" s="30" t="s">
        <v>19</v>
      </c>
      <c r="F83" s="33">
        <v>55000</v>
      </c>
      <c r="G83" s="31">
        <v>1</v>
      </c>
      <c r="H83" s="30" t="s">
        <v>38</v>
      </c>
      <c r="I83" s="30" t="s">
        <v>29</v>
      </c>
      <c r="J83" s="100" t="s">
        <v>318</v>
      </c>
    </row>
    <row r="84" spans="2:10" ht="15.75" x14ac:dyDescent="0.25">
      <c r="B84" s="98">
        <v>1112</v>
      </c>
      <c r="C84" s="29">
        <v>45769</v>
      </c>
      <c r="D84" s="30" t="s">
        <v>23</v>
      </c>
      <c r="E84" s="30" t="s">
        <v>19</v>
      </c>
      <c r="F84" s="33">
        <v>15000</v>
      </c>
      <c r="G84" s="31">
        <v>1</v>
      </c>
      <c r="H84" s="30" t="s">
        <v>38</v>
      </c>
      <c r="I84" s="30" t="s">
        <v>53</v>
      </c>
      <c r="J84" s="100" t="s">
        <v>318</v>
      </c>
    </row>
    <row r="85" spans="2:10" ht="15.75" x14ac:dyDescent="0.25">
      <c r="B85" s="98">
        <v>1113</v>
      </c>
      <c r="C85" s="29">
        <v>45770</v>
      </c>
      <c r="D85" s="30" t="s">
        <v>314</v>
      </c>
      <c r="E85" s="30" t="s">
        <v>27</v>
      </c>
      <c r="F85" s="33">
        <v>20000</v>
      </c>
      <c r="G85" s="31">
        <v>2</v>
      </c>
      <c r="H85" s="30" t="s">
        <v>28</v>
      </c>
      <c r="I85" s="30" t="s">
        <v>29</v>
      </c>
      <c r="J85" s="100" t="s">
        <v>318</v>
      </c>
    </row>
    <row r="86" spans="2:10" ht="15.75" x14ac:dyDescent="0.25">
      <c r="B86" s="98">
        <v>1116</v>
      </c>
      <c r="C86" s="29">
        <v>45773</v>
      </c>
      <c r="D86" s="30" t="s">
        <v>315</v>
      </c>
      <c r="E86" s="30" t="s">
        <v>19</v>
      </c>
      <c r="F86" s="33">
        <v>21000</v>
      </c>
      <c r="G86" s="31">
        <v>3</v>
      </c>
      <c r="H86" s="30" t="s">
        <v>34</v>
      </c>
      <c r="I86" s="30" t="s">
        <v>53</v>
      </c>
      <c r="J86" s="100" t="s">
        <v>318</v>
      </c>
    </row>
    <row r="87" spans="2:10" ht="15.75" x14ac:dyDescent="0.25">
      <c r="B87" s="98">
        <v>1119</v>
      </c>
      <c r="C87" s="29">
        <v>45776</v>
      </c>
      <c r="D87" s="30" t="s">
        <v>314</v>
      </c>
      <c r="E87" s="30" t="s">
        <v>19</v>
      </c>
      <c r="F87" s="33">
        <v>15000</v>
      </c>
      <c r="G87" s="31">
        <v>1</v>
      </c>
      <c r="H87" s="30" t="s">
        <v>24</v>
      </c>
      <c r="I87" s="30" t="s">
        <v>21</v>
      </c>
      <c r="J87" s="100" t="s">
        <v>318</v>
      </c>
    </row>
    <row r="88" spans="2:10" ht="15.75" x14ac:dyDescent="0.25">
      <c r="B88" s="98">
        <v>1120</v>
      </c>
      <c r="C88" s="29">
        <v>45777</v>
      </c>
      <c r="D88" s="30" t="s">
        <v>45</v>
      </c>
      <c r="E88" s="30" t="s">
        <v>19</v>
      </c>
      <c r="F88" s="33">
        <v>15000</v>
      </c>
      <c r="G88" s="31">
        <v>2</v>
      </c>
      <c r="H88" s="30" t="s">
        <v>46</v>
      </c>
      <c r="I88" s="30" t="s">
        <v>53</v>
      </c>
      <c r="J88" s="100" t="s">
        <v>318</v>
      </c>
    </row>
    <row r="89" spans="2:10" ht="15.75" x14ac:dyDescent="0.25">
      <c r="B89" s="98">
        <v>1121</v>
      </c>
      <c r="C89" s="29">
        <v>45658</v>
      </c>
      <c r="D89" s="30" t="s">
        <v>23</v>
      </c>
      <c r="E89" s="30" t="s">
        <v>10</v>
      </c>
      <c r="F89" s="33">
        <v>48000</v>
      </c>
      <c r="G89" s="31">
        <v>2</v>
      </c>
      <c r="H89" s="30" t="s">
        <v>20</v>
      </c>
      <c r="I89" s="30" t="s">
        <v>53</v>
      </c>
      <c r="J89" s="100" t="s">
        <v>318</v>
      </c>
    </row>
    <row r="90" spans="2:10" ht="15.75" x14ac:dyDescent="0.25">
      <c r="B90" s="98">
        <v>1122</v>
      </c>
      <c r="C90" s="29">
        <v>45659</v>
      </c>
      <c r="D90" s="30" t="s">
        <v>33</v>
      </c>
      <c r="E90" s="30" t="s">
        <v>19</v>
      </c>
      <c r="F90" s="33">
        <v>21000</v>
      </c>
      <c r="G90" s="31">
        <v>1</v>
      </c>
      <c r="H90" s="30" t="s">
        <v>11</v>
      </c>
      <c r="I90" s="30" t="s">
        <v>31</v>
      </c>
      <c r="J90" s="100" t="s">
        <v>318</v>
      </c>
    </row>
    <row r="91" spans="2:10" ht="15.75" x14ac:dyDescent="0.25">
      <c r="B91" s="98">
        <v>1123</v>
      </c>
      <c r="C91" s="29">
        <v>45660</v>
      </c>
      <c r="D91" s="30" t="s">
        <v>45</v>
      </c>
      <c r="E91" s="30" t="s">
        <v>10</v>
      </c>
      <c r="F91" s="33">
        <v>21000</v>
      </c>
      <c r="G91" s="31">
        <v>3</v>
      </c>
      <c r="H91" s="30" t="s">
        <v>34</v>
      </c>
      <c r="I91" s="30" t="s">
        <v>53</v>
      </c>
      <c r="J91" s="100" t="s">
        <v>318</v>
      </c>
    </row>
    <row r="92" spans="2:10" ht="15.75" x14ac:dyDescent="0.25">
      <c r="B92" s="98">
        <v>1124</v>
      </c>
      <c r="C92" s="29">
        <v>45661</v>
      </c>
      <c r="D92" s="30" t="s">
        <v>315</v>
      </c>
      <c r="E92" s="30" t="s">
        <v>19</v>
      </c>
      <c r="F92" s="33">
        <v>48000</v>
      </c>
      <c r="G92" s="31">
        <v>2</v>
      </c>
      <c r="H92" s="30" t="s">
        <v>46</v>
      </c>
      <c r="I92" s="30" t="s">
        <v>29</v>
      </c>
      <c r="J92" s="100" t="s">
        <v>318</v>
      </c>
    </row>
    <row r="93" spans="2:10" ht="15.75" x14ac:dyDescent="0.25">
      <c r="B93" s="98">
        <v>1126</v>
      </c>
      <c r="C93" s="29">
        <v>45663</v>
      </c>
      <c r="D93" s="30" t="s">
        <v>33</v>
      </c>
      <c r="E93" s="30" t="s">
        <v>19</v>
      </c>
      <c r="F93" s="33">
        <v>48000</v>
      </c>
      <c r="G93" s="31">
        <v>3</v>
      </c>
      <c r="H93" s="30" t="s">
        <v>34</v>
      </c>
      <c r="I93" s="30" t="s">
        <v>31</v>
      </c>
      <c r="J93" s="100" t="s">
        <v>318</v>
      </c>
    </row>
    <row r="94" spans="2:10" ht="15.75" x14ac:dyDescent="0.25">
      <c r="B94" s="98">
        <v>1127</v>
      </c>
      <c r="C94" s="29">
        <v>45664</v>
      </c>
      <c r="D94" s="30" t="s">
        <v>314</v>
      </c>
      <c r="E94" s="30" t="s">
        <v>27</v>
      </c>
      <c r="F94" s="33">
        <v>52000</v>
      </c>
      <c r="G94" s="31">
        <v>1</v>
      </c>
      <c r="H94" s="30" t="s">
        <v>46</v>
      </c>
      <c r="I94" s="30" t="s">
        <v>53</v>
      </c>
      <c r="J94" s="100" t="s">
        <v>318</v>
      </c>
    </row>
    <row r="95" spans="2:10" ht="15.75" x14ac:dyDescent="0.25">
      <c r="B95" s="98">
        <v>1128</v>
      </c>
      <c r="C95" s="29">
        <v>45665</v>
      </c>
      <c r="D95" s="30" t="s">
        <v>33</v>
      </c>
      <c r="E95" s="30" t="s">
        <v>19</v>
      </c>
      <c r="F95" s="33">
        <v>15000</v>
      </c>
      <c r="G95" s="31">
        <v>3</v>
      </c>
      <c r="H95" s="30" t="s">
        <v>11</v>
      </c>
      <c r="I95" s="30" t="s">
        <v>53</v>
      </c>
      <c r="J95" s="100" t="s">
        <v>318</v>
      </c>
    </row>
    <row r="96" spans="2:10" ht="15.75" x14ac:dyDescent="0.25">
      <c r="B96" s="98">
        <v>1129</v>
      </c>
      <c r="C96" s="29">
        <v>45666</v>
      </c>
      <c r="D96" s="30" t="s">
        <v>33</v>
      </c>
      <c r="E96" s="30" t="s">
        <v>19</v>
      </c>
      <c r="F96" s="33">
        <v>52000</v>
      </c>
      <c r="G96" s="31">
        <v>1</v>
      </c>
      <c r="H96" s="30" t="s">
        <v>28</v>
      </c>
      <c r="I96" s="30" t="s">
        <v>21</v>
      </c>
      <c r="J96" s="100" t="s">
        <v>318</v>
      </c>
    </row>
    <row r="97" spans="2:10" ht="15.75" x14ac:dyDescent="0.25">
      <c r="B97" s="98">
        <v>1130</v>
      </c>
      <c r="C97" s="29">
        <v>45667</v>
      </c>
      <c r="D97" s="30" t="s">
        <v>314</v>
      </c>
      <c r="E97" s="30" t="s">
        <v>19</v>
      </c>
      <c r="F97" s="33">
        <v>55000</v>
      </c>
      <c r="G97" s="31">
        <v>3</v>
      </c>
      <c r="H97" s="30" t="s">
        <v>38</v>
      </c>
      <c r="I97" s="30" t="s">
        <v>53</v>
      </c>
      <c r="J97" s="100" t="s">
        <v>318</v>
      </c>
    </row>
    <row r="98" spans="2:10" ht="15.75" x14ac:dyDescent="0.25">
      <c r="B98" s="98">
        <v>1131</v>
      </c>
      <c r="C98" s="29">
        <v>45668</v>
      </c>
      <c r="D98" s="30" t="s">
        <v>33</v>
      </c>
      <c r="E98" s="30" t="s">
        <v>27</v>
      </c>
      <c r="F98" s="33">
        <v>48000</v>
      </c>
      <c r="G98" s="31">
        <v>2</v>
      </c>
      <c r="H98" s="30" t="s">
        <v>46</v>
      </c>
      <c r="I98" s="30" t="s">
        <v>53</v>
      </c>
      <c r="J98" s="100" t="s">
        <v>318</v>
      </c>
    </row>
    <row r="99" spans="2:10" ht="15.75" x14ac:dyDescent="0.25">
      <c r="B99" s="98">
        <v>1133</v>
      </c>
      <c r="C99" s="29">
        <v>45670</v>
      </c>
      <c r="D99" s="30" t="s">
        <v>45</v>
      </c>
      <c r="E99" s="30" t="s">
        <v>19</v>
      </c>
      <c r="F99" s="33">
        <v>15000</v>
      </c>
      <c r="G99" s="31">
        <v>1</v>
      </c>
      <c r="H99" s="30" t="s">
        <v>46</v>
      </c>
      <c r="I99" s="30" t="s">
        <v>21</v>
      </c>
      <c r="J99" s="100" t="s">
        <v>318</v>
      </c>
    </row>
    <row r="100" spans="2:10" ht="15.75" x14ac:dyDescent="0.25">
      <c r="B100" s="98">
        <v>1134</v>
      </c>
      <c r="C100" s="29">
        <v>45671</v>
      </c>
      <c r="D100" s="30" t="s">
        <v>23</v>
      </c>
      <c r="E100" s="30" t="s">
        <v>27</v>
      </c>
      <c r="F100" s="33">
        <v>48000</v>
      </c>
      <c r="G100" s="31">
        <v>1</v>
      </c>
      <c r="H100" s="30" t="s">
        <v>15</v>
      </c>
      <c r="I100" s="30" t="s">
        <v>29</v>
      </c>
      <c r="J100" s="100" t="s">
        <v>318</v>
      </c>
    </row>
    <row r="101" spans="2:10" ht="15.75" x14ac:dyDescent="0.25">
      <c r="B101" s="98">
        <v>1135</v>
      </c>
      <c r="C101" s="29">
        <v>45672</v>
      </c>
      <c r="D101" s="30" t="s">
        <v>33</v>
      </c>
      <c r="E101" s="30" t="s">
        <v>19</v>
      </c>
      <c r="F101" s="33">
        <v>52000</v>
      </c>
      <c r="G101" s="31">
        <v>2</v>
      </c>
      <c r="H101" s="30" t="s">
        <v>15</v>
      </c>
      <c r="I101" s="30" t="s">
        <v>21</v>
      </c>
      <c r="J101" s="100" t="s">
        <v>318</v>
      </c>
    </row>
    <row r="102" spans="2:10" ht="15.75" x14ac:dyDescent="0.25">
      <c r="B102" s="98">
        <v>1139</v>
      </c>
      <c r="C102" s="29">
        <v>45676</v>
      </c>
      <c r="D102" s="30" t="s">
        <v>33</v>
      </c>
      <c r="E102" s="30" t="s">
        <v>10</v>
      </c>
      <c r="F102" s="33">
        <v>20000</v>
      </c>
      <c r="G102" s="31">
        <v>2</v>
      </c>
      <c r="H102" s="30" t="s">
        <v>20</v>
      </c>
      <c r="I102" s="30" t="s">
        <v>21</v>
      </c>
      <c r="J102" s="100" t="s">
        <v>318</v>
      </c>
    </row>
    <row r="103" spans="2:10" ht="15.75" x14ac:dyDescent="0.25">
      <c r="B103" s="98">
        <v>1140</v>
      </c>
      <c r="C103" s="29">
        <v>45677</v>
      </c>
      <c r="D103" s="30" t="s">
        <v>45</v>
      </c>
      <c r="E103" s="30" t="s">
        <v>10</v>
      </c>
      <c r="F103" s="33">
        <v>55000</v>
      </c>
      <c r="G103" s="31">
        <v>3</v>
      </c>
      <c r="H103" s="30" t="s">
        <v>15</v>
      </c>
      <c r="I103" s="30" t="s">
        <v>31</v>
      </c>
      <c r="J103" s="100" t="s">
        <v>318</v>
      </c>
    </row>
    <row r="104" spans="2:10" ht="15.75" x14ac:dyDescent="0.25">
      <c r="B104" s="98">
        <v>1141</v>
      </c>
      <c r="C104" s="29">
        <v>45678</v>
      </c>
      <c r="D104" s="30" t="s">
        <v>45</v>
      </c>
      <c r="E104" s="30" t="s">
        <v>19</v>
      </c>
      <c r="F104" s="33">
        <v>21000</v>
      </c>
      <c r="G104" s="31">
        <v>2</v>
      </c>
      <c r="H104" s="30" t="s">
        <v>34</v>
      </c>
      <c r="I104" s="30" t="s">
        <v>31</v>
      </c>
      <c r="J104" s="100" t="s">
        <v>318</v>
      </c>
    </row>
    <row r="105" spans="2:10" ht="15.75" x14ac:dyDescent="0.25">
      <c r="B105" s="98">
        <v>1142</v>
      </c>
      <c r="C105" s="29">
        <v>45679</v>
      </c>
      <c r="D105" s="30" t="s">
        <v>23</v>
      </c>
      <c r="E105" s="30" t="s">
        <v>27</v>
      </c>
      <c r="F105" s="33">
        <v>55000</v>
      </c>
      <c r="G105" s="31">
        <v>3</v>
      </c>
      <c r="H105" s="30" t="s">
        <v>46</v>
      </c>
      <c r="I105" s="30" t="s">
        <v>53</v>
      </c>
      <c r="J105" s="100" t="s">
        <v>318</v>
      </c>
    </row>
    <row r="106" spans="2:10" ht="15.75" x14ac:dyDescent="0.25">
      <c r="B106" s="98">
        <v>1144</v>
      </c>
      <c r="C106" s="29">
        <v>45681</v>
      </c>
      <c r="D106" s="30" t="s">
        <v>45</v>
      </c>
      <c r="E106" s="30" t="s">
        <v>27</v>
      </c>
      <c r="F106" s="33">
        <v>48000</v>
      </c>
      <c r="G106" s="31">
        <v>1</v>
      </c>
      <c r="H106" s="30" t="s">
        <v>20</v>
      </c>
      <c r="I106" s="30" t="s">
        <v>29</v>
      </c>
      <c r="J106" s="100" t="s">
        <v>318</v>
      </c>
    </row>
    <row r="107" spans="2:10" ht="15.75" x14ac:dyDescent="0.25">
      <c r="B107" s="98">
        <v>1145</v>
      </c>
      <c r="C107" s="29">
        <v>45682</v>
      </c>
      <c r="D107" s="30" t="s">
        <v>23</v>
      </c>
      <c r="E107" s="30" t="s">
        <v>19</v>
      </c>
      <c r="F107" s="33">
        <v>52000</v>
      </c>
      <c r="G107" s="31">
        <v>3</v>
      </c>
      <c r="H107" s="30" t="s">
        <v>15</v>
      </c>
      <c r="I107" s="30" t="s">
        <v>29</v>
      </c>
      <c r="J107" s="100" t="s">
        <v>318</v>
      </c>
    </row>
    <row r="108" spans="2:10" ht="15.75" x14ac:dyDescent="0.25">
      <c r="B108" s="98">
        <v>1147</v>
      </c>
      <c r="C108" s="29">
        <v>45684</v>
      </c>
      <c r="D108" s="30" t="s">
        <v>33</v>
      </c>
      <c r="E108" s="30" t="s">
        <v>27</v>
      </c>
      <c r="F108" s="33">
        <v>21000</v>
      </c>
      <c r="G108" s="31">
        <v>3</v>
      </c>
      <c r="H108" s="30" t="s">
        <v>46</v>
      </c>
      <c r="I108" s="30" t="s">
        <v>29</v>
      </c>
      <c r="J108" s="100" t="s">
        <v>318</v>
      </c>
    </row>
    <row r="109" spans="2:10" ht="15.75" x14ac:dyDescent="0.25">
      <c r="B109" s="98">
        <v>1149</v>
      </c>
      <c r="C109" s="29">
        <v>45686</v>
      </c>
      <c r="D109" s="30" t="s">
        <v>23</v>
      </c>
      <c r="E109" s="30" t="s">
        <v>19</v>
      </c>
      <c r="F109" s="33">
        <v>21000</v>
      </c>
      <c r="G109" s="31">
        <v>2</v>
      </c>
      <c r="H109" s="30" t="s">
        <v>34</v>
      </c>
      <c r="I109" s="30" t="s">
        <v>31</v>
      </c>
      <c r="J109" s="100" t="s">
        <v>318</v>
      </c>
    </row>
    <row r="110" spans="2:10" ht="15.75" x14ac:dyDescent="0.25">
      <c r="B110" s="98">
        <v>1151</v>
      </c>
      <c r="C110" s="29">
        <v>45688</v>
      </c>
      <c r="D110" s="30" t="s">
        <v>45</v>
      </c>
      <c r="E110" s="30" t="s">
        <v>10</v>
      </c>
      <c r="F110" s="33">
        <v>55000</v>
      </c>
      <c r="G110" s="31">
        <v>2</v>
      </c>
      <c r="H110" s="30" t="s">
        <v>46</v>
      </c>
      <c r="I110" s="30" t="s">
        <v>31</v>
      </c>
      <c r="J110" s="100" t="s">
        <v>318</v>
      </c>
    </row>
    <row r="111" spans="2:10" ht="15.75" x14ac:dyDescent="0.25">
      <c r="B111" s="98">
        <v>1153</v>
      </c>
      <c r="C111" s="29">
        <v>45690</v>
      </c>
      <c r="D111" s="30" t="s">
        <v>23</v>
      </c>
      <c r="E111" s="30" t="s">
        <v>19</v>
      </c>
      <c r="F111" s="33">
        <v>21000</v>
      </c>
      <c r="G111" s="31">
        <v>3</v>
      </c>
      <c r="H111" s="30" t="s">
        <v>15</v>
      </c>
      <c r="I111" s="30" t="s">
        <v>21</v>
      </c>
      <c r="J111" s="100" t="s">
        <v>318</v>
      </c>
    </row>
    <row r="112" spans="2:10" ht="15.75" x14ac:dyDescent="0.25">
      <c r="B112" s="98">
        <v>1155</v>
      </c>
      <c r="C112" s="29">
        <v>45692</v>
      </c>
      <c r="D112" s="30" t="s">
        <v>23</v>
      </c>
      <c r="E112" s="30" t="s">
        <v>19</v>
      </c>
      <c r="F112" s="33">
        <v>21000</v>
      </c>
      <c r="G112" s="31">
        <v>3</v>
      </c>
      <c r="H112" s="30" t="s">
        <v>20</v>
      </c>
      <c r="I112" s="30" t="s">
        <v>53</v>
      </c>
      <c r="J112" s="100" t="s">
        <v>318</v>
      </c>
    </row>
    <row r="113" spans="2:10" ht="15.75" x14ac:dyDescent="0.25">
      <c r="B113" s="98">
        <v>1156</v>
      </c>
      <c r="C113" s="29">
        <v>45693</v>
      </c>
      <c r="D113" s="30" t="s">
        <v>314</v>
      </c>
      <c r="E113" s="30" t="s">
        <v>27</v>
      </c>
      <c r="F113" s="33">
        <v>52000</v>
      </c>
      <c r="G113" s="31">
        <v>2</v>
      </c>
      <c r="H113" s="30" t="s">
        <v>24</v>
      </c>
      <c r="I113" s="30" t="s">
        <v>29</v>
      </c>
      <c r="J113" s="100" t="s">
        <v>318</v>
      </c>
    </row>
    <row r="114" spans="2:10" ht="15.75" x14ac:dyDescent="0.25">
      <c r="B114" s="98">
        <v>1157</v>
      </c>
      <c r="C114" s="29">
        <v>45694</v>
      </c>
      <c r="D114" s="30" t="s">
        <v>315</v>
      </c>
      <c r="E114" s="30" t="s">
        <v>27</v>
      </c>
      <c r="F114" s="33">
        <v>48000</v>
      </c>
      <c r="G114" s="31">
        <v>1</v>
      </c>
      <c r="H114" s="30" t="s">
        <v>38</v>
      </c>
      <c r="I114" s="30" t="s">
        <v>29</v>
      </c>
      <c r="J114" s="100" t="s">
        <v>318</v>
      </c>
    </row>
    <row r="115" spans="2:10" ht="15.75" x14ac:dyDescent="0.25">
      <c r="B115" s="98">
        <v>1160</v>
      </c>
      <c r="C115" s="29">
        <v>45697</v>
      </c>
      <c r="D115" s="30" t="s">
        <v>23</v>
      </c>
      <c r="E115" s="30" t="s">
        <v>19</v>
      </c>
      <c r="F115" s="33">
        <v>52000</v>
      </c>
      <c r="G115" s="31">
        <v>3</v>
      </c>
      <c r="H115" s="30" t="s">
        <v>24</v>
      </c>
      <c r="I115" s="30" t="s">
        <v>29</v>
      </c>
      <c r="J115" s="100" t="s">
        <v>318</v>
      </c>
    </row>
    <row r="116" spans="2:10" ht="15.75" x14ac:dyDescent="0.25">
      <c r="B116" s="98">
        <v>1162</v>
      </c>
      <c r="C116" s="29">
        <v>45699</v>
      </c>
      <c r="D116" s="30" t="s">
        <v>45</v>
      </c>
      <c r="E116" s="30" t="s">
        <v>19</v>
      </c>
      <c r="F116" s="33">
        <v>21000</v>
      </c>
      <c r="G116" s="31">
        <v>1</v>
      </c>
      <c r="H116" s="30" t="s">
        <v>15</v>
      </c>
      <c r="I116" s="30" t="s">
        <v>29</v>
      </c>
      <c r="J116" s="100" t="s">
        <v>318</v>
      </c>
    </row>
    <row r="117" spans="2:10" ht="15.75" x14ac:dyDescent="0.25">
      <c r="B117" s="98">
        <v>1163</v>
      </c>
      <c r="C117" s="29">
        <v>45700</v>
      </c>
      <c r="D117" s="30" t="s">
        <v>23</v>
      </c>
      <c r="E117" s="30" t="s">
        <v>27</v>
      </c>
      <c r="F117" s="33">
        <v>53000</v>
      </c>
      <c r="G117" s="31">
        <v>1</v>
      </c>
      <c r="H117" s="30" t="s">
        <v>34</v>
      </c>
      <c r="I117" s="30" t="s">
        <v>31</v>
      </c>
      <c r="J117" s="100" t="s">
        <v>318</v>
      </c>
    </row>
    <row r="118" spans="2:10" ht="15.75" x14ac:dyDescent="0.25">
      <c r="B118" s="98">
        <v>1164</v>
      </c>
      <c r="C118" s="29">
        <v>45701</v>
      </c>
      <c r="D118" s="30" t="s">
        <v>315</v>
      </c>
      <c r="E118" s="30" t="s">
        <v>27</v>
      </c>
      <c r="F118" s="33">
        <v>48000</v>
      </c>
      <c r="G118" s="31">
        <v>1</v>
      </c>
      <c r="H118" s="30" t="s">
        <v>46</v>
      </c>
      <c r="I118" s="30" t="s">
        <v>21</v>
      </c>
      <c r="J118" s="100" t="s">
        <v>318</v>
      </c>
    </row>
    <row r="119" spans="2:10" ht="15.75" x14ac:dyDescent="0.25">
      <c r="B119" s="98">
        <v>1165</v>
      </c>
      <c r="C119" s="29">
        <v>45702</v>
      </c>
      <c r="D119" s="30" t="s">
        <v>45</v>
      </c>
      <c r="E119" s="30" t="s">
        <v>19</v>
      </c>
      <c r="F119" s="33">
        <v>15000</v>
      </c>
      <c r="G119" s="31">
        <v>2</v>
      </c>
      <c r="H119" s="30" t="s">
        <v>11</v>
      </c>
      <c r="I119" s="30" t="s">
        <v>21</v>
      </c>
      <c r="J119" s="100" t="s">
        <v>318</v>
      </c>
    </row>
    <row r="120" spans="2:10" ht="15.75" x14ac:dyDescent="0.25">
      <c r="B120" s="98">
        <v>1166</v>
      </c>
      <c r="C120" s="29">
        <v>45703</v>
      </c>
      <c r="D120" s="30" t="s">
        <v>33</v>
      </c>
      <c r="E120" s="30" t="s">
        <v>27</v>
      </c>
      <c r="F120" s="33">
        <v>20000</v>
      </c>
      <c r="G120" s="31">
        <v>2</v>
      </c>
      <c r="H120" s="30" t="s">
        <v>15</v>
      </c>
      <c r="I120" s="30" t="s">
        <v>31</v>
      </c>
      <c r="J120" s="100" t="s">
        <v>318</v>
      </c>
    </row>
    <row r="121" spans="2:10" ht="15.75" x14ac:dyDescent="0.25">
      <c r="B121" s="98">
        <v>1169</v>
      </c>
      <c r="C121" s="29">
        <v>45706</v>
      </c>
      <c r="D121" s="30" t="s">
        <v>23</v>
      </c>
      <c r="E121" s="30" t="s">
        <v>19</v>
      </c>
      <c r="F121" s="33">
        <v>21000</v>
      </c>
      <c r="G121" s="31">
        <v>2</v>
      </c>
      <c r="H121" s="30" t="s">
        <v>24</v>
      </c>
      <c r="I121" s="30" t="s">
        <v>53</v>
      </c>
      <c r="J121" s="100" t="s">
        <v>318</v>
      </c>
    </row>
    <row r="122" spans="2:10" ht="15.75" x14ac:dyDescent="0.25">
      <c r="B122" s="98">
        <v>1170</v>
      </c>
      <c r="C122" s="29">
        <v>45707</v>
      </c>
      <c r="D122" s="30" t="s">
        <v>23</v>
      </c>
      <c r="E122" s="30" t="s">
        <v>19</v>
      </c>
      <c r="F122" s="33">
        <v>20000</v>
      </c>
      <c r="G122" s="31">
        <v>1</v>
      </c>
      <c r="H122" s="30" t="s">
        <v>24</v>
      </c>
      <c r="I122" s="30" t="s">
        <v>31</v>
      </c>
      <c r="J122" s="100" t="s">
        <v>318</v>
      </c>
    </row>
    <row r="123" spans="2:10" ht="15.75" x14ac:dyDescent="0.25">
      <c r="B123" s="98">
        <v>1174</v>
      </c>
      <c r="C123" s="29">
        <v>45711</v>
      </c>
      <c r="D123" s="30" t="s">
        <v>23</v>
      </c>
      <c r="E123" s="30" t="s">
        <v>10</v>
      </c>
      <c r="F123" s="33">
        <v>53000</v>
      </c>
      <c r="G123" s="31">
        <v>1</v>
      </c>
      <c r="H123" s="30" t="s">
        <v>46</v>
      </c>
      <c r="I123" s="30" t="s">
        <v>21</v>
      </c>
      <c r="J123" s="100" t="s">
        <v>318</v>
      </c>
    </row>
    <row r="124" spans="2:10" ht="15.75" x14ac:dyDescent="0.25">
      <c r="B124" s="98">
        <v>1175</v>
      </c>
      <c r="C124" s="29">
        <v>45712</v>
      </c>
      <c r="D124" s="30" t="s">
        <v>315</v>
      </c>
      <c r="E124" s="30" t="s">
        <v>10</v>
      </c>
      <c r="F124" s="33">
        <v>48000</v>
      </c>
      <c r="G124" s="31">
        <v>1</v>
      </c>
      <c r="H124" s="30" t="s">
        <v>46</v>
      </c>
      <c r="I124" s="30" t="s">
        <v>53</v>
      </c>
      <c r="J124" s="100" t="s">
        <v>318</v>
      </c>
    </row>
    <row r="125" spans="2:10" ht="15.75" x14ac:dyDescent="0.25">
      <c r="B125" s="98">
        <v>1177</v>
      </c>
      <c r="C125" s="29">
        <v>45714</v>
      </c>
      <c r="D125" s="30" t="s">
        <v>314</v>
      </c>
      <c r="E125" s="30" t="s">
        <v>19</v>
      </c>
      <c r="F125" s="33">
        <v>21000</v>
      </c>
      <c r="G125" s="31">
        <v>2</v>
      </c>
      <c r="H125" s="30" t="s">
        <v>24</v>
      </c>
      <c r="I125" s="30" t="s">
        <v>29</v>
      </c>
      <c r="J125" s="100" t="s">
        <v>318</v>
      </c>
    </row>
    <row r="126" spans="2:10" ht="15.75" x14ac:dyDescent="0.25">
      <c r="B126" s="98">
        <v>1178</v>
      </c>
      <c r="C126" s="29">
        <v>45715</v>
      </c>
      <c r="D126" s="30" t="s">
        <v>45</v>
      </c>
      <c r="E126" s="30" t="s">
        <v>27</v>
      </c>
      <c r="F126" s="33">
        <v>15000</v>
      </c>
      <c r="G126" s="31">
        <v>1</v>
      </c>
      <c r="H126" s="30" t="s">
        <v>28</v>
      </c>
      <c r="I126" s="30" t="s">
        <v>29</v>
      </c>
      <c r="J126" s="100" t="s">
        <v>318</v>
      </c>
    </row>
    <row r="127" spans="2:10" ht="15.75" x14ac:dyDescent="0.25">
      <c r="B127" s="98">
        <v>1180</v>
      </c>
      <c r="C127" s="29">
        <v>45717</v>
      </c>
      <c r="D127" s="30" t="s">
        <v>23</v>
      </c>
      <c r="E127" s="30" t="s">
        <v>27</v>
      </c>
      <c r="F127" s="33">
        <v>15000</v>
      </c>
      <c r="G127" s="31">
        <v>3</v>
      </c>
      <c r="H127" s="30" t="s">
        <v>11</v>
      </c>
      <c r="I127" s="30" t="s">
        <v>21</v>
      </c>
      <c r="J127" s="100" t="s">
        <v>318</v>
      </c>
    </row>
    <row r="128" spans="2:10" ht="15.75" x14ac:dyDescent="0.25">
      <c r="B128" s="98">
        <v>1181</v>
      </c>
      <c r="C128" s="29">
        <v>45718</v>
      </c>
      <c r="D128" s="30" t="s">
        <v>33</v>
      </c>
      <c r="E128" s="30" t="s">
        <v>19</v>
      </c>
      <c r="F128" s="33">
        <v>15000</v>
      </c>
      <c r="G128" s="31">
        <v>1</v>
      </c>
      <c r="H128" s="30" t="s">
        <v>24</v>
      </c>
      <c r="I128" s="30" t="s">
        <v>21</v>
      </c>
      <c r="J128" s="100" t="s">
        <v>318</v>
      </c>
    </row>
    <row r="129" spans="2:10" ht="15.75" x14ac:dyDescent="0.25">
      <c r="B129" s="98">
        <v>1182</v>
      </c>
      <c r="C129" s="29">
        <v>45719</v>
      </c>
      <c r="D129" s="30" t="s">
        <v>23</v>
      </c>
      <c r="E129" s="30" t="s">
        <v>27</v>
      </c>
      <c r="F129" s="33">
        <v>15000</v>
      </c>
      <c r="G129" s="31">
        <v>3</v>
      </c>
      <c r="H129" s="30" t="s">
        <v>24</v>
      </c>
      <c r="I129" s="30" t="s">
        <v>31</v>
      </c>
      <c r="J129" s="100" t="s">
        <v>318</v>
      </c>
    </row>
    <row r="130" spans="2:10" ht="15.75" x14ac:dyDescent="0.25">
      <c r="B130" s="98">
        <v>1183</v>
      </c>
      <c r="C130" s="29">
        <v>45720</v>
      </c>
      <c r="D130" s="30" t="s">
        <v>314</v>
      </c>
      <c r="E130" s="30" t="s">
        <v>10</v>
      </c>
      <c r="F130" s="33">
        <v>20000</v>
      </c>
      <c r="G130" s="31">
        <v>2</v>
      </c>
      <c r="H130" s="30" t="s">
        <v>46</v>
      </c>
      <c r="I130" s="30" t="s">
        <v>53</v>
      </c>
      <c r="J130" s="100" t="s">
        <v>318</v>
      </c>
    </row>
    <row r="131" spans="2:10" ht="15.75" x14ac:dyDescent="0.25">
      <c r="B131" s="98">
        <v>1184</v>
      </c>
      <c r="C131" s="29">
        <v>45721</v>
      </c>
      <c r="D131" s="30" t="s">
        <v>23</v>
      </c>
      <c r="E131" s="30" t="s">
        <v>27</v>
      </c>
      <c r="F131" s="33">
        <v>20000</v>
      </c>
      <c r="G131" s="31">
        <v>2</v>
      </c>
      <c r="H131" s="30" t="s">
        <v>11</v>
      </c>
      <c r="I131" s="30" t="s">
        <v>29</v>
      </c>
      <c r="J131" s="100" t="s">
        <v>318</v>
      </c>
    </row>
    <row r="132" spans="2:10" ht="15.75" x14ac:dyDescent="0.25">
      <c r="B132" s="98">
        <v>1185</v>
      </c>
      <c r="C132" s="29">
        <v>45722</v>
      </c>
      <c r="D132" s="30" t="s">
        <v>314</v>
      </c>
      <c r="E132" s="30" t="s">
        <v>19</v>
      </c>
      <c r="F132" s="33">
        <v>21000</v>
      </c>
      <c r="G132" s="31">
        <v>1</v>
      </c>
      <c r="H132" s="30" t="s">
        <v>34</v>
      </c>
      <c r="I132" s="30" t="s">
        <v>21</v>
      </c>
      <c r="J132" s="100" t="s">
        <v>318</v>
      </c>
    </row>
    <row r="133" spans="2:10" ht="15.75" x14ac:dyDescent="0.25">
      <c r="B133" s="98">
        <v>1186</v>
      </c>
      <c r="C133" s="29">
        <v>45723</v>
      </c>
      <c r="D133" s="30" t="s">
        <v>45</v>
      </c>
      <c r="E133" s="30" t="s">
        <v>27</v>
      </c>
      <c r="F133" s="33">
        <v>15000</v>
      </c>
      <c r="G133" s="31">
        <v>3</v>
      </c>
      <c r="H133" s="30" t="s">
        <v>28</v>
      </c>
      <c r="I133" s="30" t="s">
        <v>53</v>
      </c>
      <c r="J133" s="100" t="s">
        <v>318</v>
      </c>
    </row>
    <row r="134" spans="2:10" ht="15.75" x14ac:dyDescent="0.25">
      <c r="B134" s="98">
        <v>1187</v>
      </c>
      <c r="C134" s="29">
        <v>45724</v>
      </c>
      <c r="D134" s="30" t="s">
        <v>314</v>
      </c>
      <c r="E134" s="30" t="s">
        <v>27</v>
      </c>
      <c r="F134" s="33">
        <v>21000</v>
      </c>
      <c r="G134" s="31">
        <v>1</v>
      </c>
      <c r="H134" s="30" t="s">
        <v>46</v>
      </c>
      <c r="I134" s="30" t="s">
        <v>53</v>
      </c>
      <c r="J134" s="100" t="s">
        <v>318</v>
      </c>
    </row>
    <row r="135" spans="2:10" ht="15.75" x14ac:dyDescent="0.25">
      <c r="B135" s="98">
        <v>1189</v>
      </c>
      <c r="C135" s="29">
        <v>45726</v>
      </c>
      <c r="D135" s="30" t="s">
        <v>23</v>
      </c>
      <c r="E135" s="30" t="s">
        <v>10</v>
      </c>
      <c r="F135" s="33">
        <v>52000</v>
      </c>
      <c r="G135" s="31">
        <v>1</v>
      </c>
      <c r="H135" s="30" t="s">
        <v>38</v>
      </c>
      <c r="I135" s="30" t="s">
        <v>21</v>
      </c>
      <c r="J135" s="100" t="s">
        <v>318</v>
      </c>
    </row>
    <row r="136" spans="2:10" ht="15.75" x14ac:dyDescent="0.25">
      <c r="B136" s="98">
        <v>1190</v>
      </c>
      <c r="C136" s="29">
        <v>45727</v>
      </c>
      <c r="D136" s="30" t="s">
        <v>45</v>
      </c>
      <c r="E136" s="30" t="s">
        <v>19</v>
      </c>
      <c r="F136" s="33">
        <v>15000</v>
      </c>
      <c r="G136" s="31">
        <v>2</v>
      </c>
      <c r="H136" s="30" t="s">
        <v>15</v>
      </c>
      <c r="I136" s="30" t="s">
        <v>21</v>
      </c>
      <c r="J136" s="100" t="s">
        <v>318</v>
      </c>
    </row>
    <row r="137" spans="2:10" ht="15.75" x14ac:dyDescent="0.25">
      <c r="B137" s="98">
        <v>1192</v>
      </c>
      <c r="C137" s="29">
        <v>45729</v>
      </c>
      <c r="D137" s="30" t="s">
        <v>33</v>
      </c>
      <c r="E137" s="30" t="s">
        <v>27</v>
      </c>
      <c r="F137" s="33">
        <v>20000</v>
      </c>
      <c r="G137" s="31">
        <v>2</v>
      </c>
      <c r="H137" s="30" t="s">
        <v>38</v>
      </c>
      <c r="I137" s="30" t="s">
        <v>31</v>
      </c>
      <c r="J137" s="100" t="s">
        <v>318</v>
      </c>
    </row>
    <row r="138" spans="2:10" ht="15.75" x14ac:dyDescent="0.25">
      <c r="B138" s="98">
        <v>1193</v>
      </c>
      <c r="C138" s="29">
        <v>45730</v>
      </c>
      <c r="D138" s="30" t="s">
        <v>33</v>
      </c>
      <c r="E138" s="30" t="s">
        <v>19</v>
      </c>
      <c r="F138" s="33">
        <v>21000</v>
      </c>
      <c r="G138" s="31">
        <v>2</v>
      </c>
      <c r="H138" s="30" t="s">
        <v>34</v>
      </c>
      <c r="I138" s="30" t="s">
        <v>31</v>
      </c>
      <c r="J138" s="100" t="s">
        <v>318</v>
      </c>
    </row>
    <row r="139" spans="2:10" ht="15.75" x14ac:dyDescent="0.25">
      <c r="B139" s="98">
        <v>1194</v>
      </c>
      <c r="C139" s="29">
        <v>45731</v>
      </c>
      <c r="D139" s="30" t="s">
        <v>314</v>
      </c>
      <c r="E139" s="30" t="s">
        <v>27</v>
      </c>
      <c r="F139" s="33">
        <v>53000</v>
      </c>
      <c r="G139" s="31">
        <v>1</v>
      </c>
      <c r="H139" s="30" t="s">
        <v>46</v>
      </c>
      <c r="I139" s="30" t="s">
        <v>21</v>
      </c>
      <c r="J139" s="100" t="s">
        <v>318</v>
      </c>
    </row>
    <row r="140" spans="2:10" ht="15.75" x14ac:dyDescent="0.25">
      <c r="B140" s="98">
        <v>1195</v>
      </c>
      <c r="C140" s="29">
        <v>45732</v>
      </c>
      <c r="D140" s="30" t="s">
        <v>45</v>
      </c>
      <c r="E140" s="30" t="s">
        <v>19</v>
      </c>
      <c r="F140" s="33">
        <v>21000</v>
      </c>
      <c r="G140" s="31">
        <v>1</v>
      </c>
      <c r="H140" s="30" t="s">
        <v>20</v>
      </c>
      <c r="I140" s="30" t="s">
        <v>29</v>
      </c>
      <c r="J140" s="100" t="s">
        <v>318</v>
      </c>
    </row>
    <row r="141" spans="2:10" ht="15.75" x14ac:dyDescent="0.25">
      <c r="B141" s="98">
        <v>1197</v>
      </c>
      <c r="C141" s="29">
        <v>45734</v>
      </c>
      <c r="D141" s="30" t="s">
        <v>23</v>
      </c>
      <c r="E141" s="30" t="s">
        <v>19</v>
      </c>
      <c r="F141" s="33">
        <v>15000</v>
      </c>
      <c r="G141" s="31">
        <v>3</v>
      </c>
      <c r="H141" s="30" t="s">
        <v>38</v>
      </c>
      <c r="I141" s="30" t="s">
        <v>29</v>
      </c>
      <c r="J141" s="100" t="s">
        <v>318</v>
      </c>
    </row>
    <row r="142" spans="2:10" ht="15.75" x14ac:dyDescent="0.25">
      <c r="B142" s="98">
        <v>1198</v>
      </c>
      <c r="C142" s="29">
        <v>45735</v>
      </c>
      <c r="D142" s="30" t="s">
        <v>33</v>
      </c>
      <c r="E142" s="30" t="s">
        <v>27</v>
      </c>
      <c r="F142" s="33">
        <v>48000</v>
      </c>
      <c r="G142" s="31">
        <v>3</v>
      </c>
      <c r="H142" s="30" t="s">
        <v>20</v>
      </c>
      <c r="I142" s="30" t="s">
        <v>53</v>
      </c>
      <c r="J142" s="100" t="s">
        <v>318</v>
      </c>
    </row>
    <row r="143" spans="2:10" ht="15.75" x14ac:dyDescent="0.25">
      <c r="B143" s="98">
        <v>1200</v>
      </c>
      <c r="C143" s="29">
        <v>45737</v>
      </c>
      <c r="D143" s="30" t="s">
        <v>23</v>
      </c>
      <c r="E143" s="30" t="s">
        <v>27</v>
      </c>
      <c r="F143" s="33">
        <v>20000</v>
      </c>
      <c r="G143" s="31">
        <v>3</v>
      </c>
      <c r="H143" s="30" t="s">
        <v>38</v>
      </c>
      <c r="I143" s="30" t="s">
        <v>21</v>
      </c>
      <c r="J143" s="100" t="s">
        <v>318</v>
      </c>
    </row>
    <row r="144" spans="2:10" ht="15.75" x14ac:dyDescent="0.25">
      <c r="B144" s="98">
        <v>1201</v>
      </c>
      <c r="C144" s="29">
        <v>45738</v>
      </c>
      <c r="D144" s="30" t="s">
        <v>33</v>
      </c>
      <c r="E144" s="30" t="s">
        <v>27</v>
      </c>
      <c r="F144" s="33">
        <v>15000</v>
      </c>
      <c r="G144" s="31">
        <v>2</v>
      </c>
      <c r="H144" s="30" t="s">
        <v>28</v>
      </c>
      <c r="I144" s="30" t="s">
        <v>21</v>
      </c>
      <c r="J144" s="100" t="s">
        <v>318</v>
      </c>
    </row>
    <row r="145" spans="2:10" ht="15.75" x14ac:dyDescent="0.25">
      <c r="B145" s="98">
        <v>1202</v>
      </c>
      <c r="C145" s="29">
        <v>45739</v>
      </c>
      <c r="D145" s="30" t="s">
        <v>23</v>
      </c>
      <c r="E145" s="30" t="s">
        <v>10</v>
      </c>
      <c r="F145" s="33">
        <v>21000</v>
      </c>
      <c r="G145" s="31">
        <v>2</v>
      </c>
      <c r="H145" s="30" t="s">
        <v>20</v>
      </c>
      <c r="I145" s="30" t="s">
        <v>29</v>
      </c>
      <c r="J145" s="100" t="s">
        <v>318</v>
      </c>
    </row>
    <row r="146" spans="2:10" ht="15.75" x14ac:dyDescent="0.25">
      <c r="B146" s="98">
        <v>1204</v>
      </c>
      <c r="C146" s="29">
        <v>45741</v>
      </c>
      <c r="D146" s="30" t="s">
        <v>33</v>
      </c>
      <c r="E146" s="30" t="s">
        <v>19</v>
      </c>
      <c r="F146" s="33">
        <v>53000</v>
      </c>
      <c r="G146" s="31">
        <v>3</v>
      </c>
      <c r="H146" s="30" t="s">
        <v>11</v>
      </c>
      <c r="I146" s="30" t="s">
        <v>53</v>
      </c>
      <c r="J146" s="100" t="s">
        <v>318</v>
      </c>
    </row>
    <row r="147" spans="2:10" ht="15.75" x14ac:dyDescent="0.25">
      <c r="B147" s="98">
        <v>1207</v>
      </c>
      <c r="C147" s="29">
        <v>45744</v>
      </c>
      <c r="D147" s="30" t="s">
        <v>315</v>
      </c>
      <c r="E147" s="30" t="s">
        <v>27</v>
      </c>
      <c r="F147" s="33">
        <v>48000</v>
      </c>
      <c r="G147" s="31">
        <v>2</v>
      </c>
      <c r="H147" s="30" t="s">
        <v>28</v>
      </c>
      <c r="I147" s="30" t="s">
        <v>21</v>
      </c>
      <c r="J147" s="100" t="s">
        <v>318</v>
      </c>
    </row>
    <row r="148" spans="2:10" ht="15.75" x14ac:dyDescent="0.25">
      <c r="B148" s="98">
        <v>1208</v>
      </c>
      <c r="C148" s="29">
        <v>45745</v>
      </c>
      <c r="D148" s="30" t="s">
        <v>23</v>
      </c>
      <c r="E148" s="30" t="s">
        <v>19</v>
      </c>
      <c r="F148" s="33">
        <v>15000</v>
      </c>
      <c r="G148" s="31">
        <v>3</v>
      </c>
      <c r="H148" s="30" t="s">
        <v>11</v>
      </c>
      <c r="I148" s="30" t="s">
        <v>29</v>
      </c>
      <c r="J148" s="100" t="s">
        <v>318</v>
      </c>
    </row>
    <row r="149" spans="2:10" ht="15.75" x14ac:dyDescent="0.25">
      <c r="B149" s="98">
        <v>1209</v>
      </c>
      <c r="C149" s="29">
        <v>45746</v>
      </c>
      <c r="D149" s="30" t="s">
        <v>314</v>
      </c>
      <c r="E149" s="30" t="s">
        <v>10</v>
      </c>
      <c r="F149" s="33">
        <v>21000</v>
      </c>
      <c r="G149" s="31">
        <v>1</v>
      </c>
      <c r="H149" s="30" t="s">
        <v>28</v>
      </c>
      <c r="I149" s="30" t="s">
        <v>21</v>
      </c>
      <c r="J149" s="100" t="s">
        <v>318</v>
      </c>
    </row>
    <row r="150" spans="2:10" ht="15.75" x14ac:dyDescent="0.25">
      <c r="B150" s="98">
        <v>1213</v>
      </c>
      <c r="C150" s="29">
        <v>45750</v>
      </c>
      <c r="D150" s="30" t="s">
        <v>23</v>
      </c>
      <c r="E150" s="30" t="s">
        <v>19</v>
      </c>
      <c r="F150" s="33">
        <v>52000</v>
      </c>
      <c r="G150" s="31">
        <v>1</v>
      </c>
      <c r="H150" s="30" t="s">
        <v>11</v>
      </c>
      <c r="I150" s="30" t="s">
        <v>31</v>
      </c>
      <c r="J150" s="100" t="s">
        <v>318</v>
      </c>
    </row>
    <row r="151" spans="2:10" ht="15.75" x14ac:dyDescent="0.25">
      <c r="B151" s="98">
        <v>1214</v>
      </c>
      <c r="C151" s="29">
        <v>45751</v>
      </c>
      <c r="D151" s="30" t="s">
        <v>23</v>
      </c>
      <c r="E151" s="30" t="s">
        <v>10</v>
      </c>
      <c r="F151" s="33">
        <v>20000</v>
      </c>
      <c r="G151" s="31">
        <v>1</v>
      </c>
      <c r="H151" s="30" t="s">
        <v>34</v>
      </c>
      <c r="I151" s="30" t="s">
        <v>21</v>
      </c>
      <c r="J151" s="100" t="s">
        <v>318</v>
      </c>
    </row>
    <row r="152" spans="2:10" ht="15.75" x14ac:dyDescent="0.25">
      <c r="B152" s="98">
        <v>1215</v>
      </c>
      <c r="C152" s="29">
        <v>45752</v>
      </c>
      <c r="D152" s="30" t="s">
        <v>23</v>
      </c>
      <c r="E152" s="30" t="s">
        <v>10</v>
      </c>
      <c r="F152" s="33">
        <v>52000</v>
      </c>
      <c r="G152" s="31">
        <v>2</v>
      </c>
      <c r="H152" s="30" t="s">
        <v>20</v>
      </c>
      <c r="I152" s="30" t="s">
        <v>29</v>
      </c>
      <c r="J152" s="100" t="s">
        <v>318</v>
      </c>
    </row>
    <row r="153" spans="2:10" ht="15.75" x14ac:dyDescent="0.25">
      <c r="B153" s="98">
        <v>1216</v>
      </c>
      <c r="C153" s="29">
        <v>45753</v>
      </c>
      <c r="D153" s="30" t="s">
        <v>23</v>
      </c>
      <c r="E153" s="30" t="s">
        <v>10</v>
      </c>
      <c r="F153" s="33">
        <v>55000</v>
      </c>
      <c r="G153" s="31">
        <v>3</v>
      </c>
      <c r="H153" s="30" t="s">
        <v>20</v>
      </c>
      <c r="I153" s="30" t="s">
        <v>29</v>
      </c>
      <c r="J153" s="100" t="s">
        <v>318</v>
      </c>
    </row>
    <row r="154" spans="2:10" ht="15.75" x14ac:dyDescent="0.25">
      <c r="B154" s="98">
        <v>1218</v>
      </c>
      <c r="C154" s="29">
        <v>45755</v>
      </c>
      <c r="D154" s="30" t="s">
        <v>33</v>
      </c>
      <c r="E154" s="30" t="s">
        <v>19</v>
      </c>
      <c r="F154" s="33">
        <v>20000</v>
      </c>
      <c r="G154" s="31">
        <v>2</v>
      </c>
      <c r="H154" s="30" t="s">
        <v>11</v>
      </c>
      <c r="I154" s="30" t="s">
        <v>53</v>
      </c>
      <c r="J154" s="100" t="s">
        <v>318</v>
      </c>
    </row>
    <row r="155" spans="2:10" ht="15.75" x14ac:dyDescent="0.25">
      <c r="B155" s="98">
        <v>1219</v>
      </c>
      <c r="C155" s="29">
        <v>45756</v>
      </c>
      <c r="D155" s="30" t="s">
        <v>314</v>
      </c>
      <c r="E155" s="30" t="s">
        <v>19</v>
      </c>
      <c r="F155" s="33">
        <v>53000</v>
      </c>
      <c r="G155" s="31">
        <v>2</v>
      </c>
      <c r="H155" s="30" t="s">
        <v>28</v>
      </c>
      <c r="I155" s="30" t="s">
        <v>53</v>
      </c>
      <c r="J155" s="100" t="s">
        <v>318</v>
      </c>
    </row>
    <row r="156" spans="2:10" ht="15.75" x14ac:dyDescent="0.25">
      <c r="B156" s="98">
        <v>1221</v>
      </c>
      <c r="C156" s="29">
        <v>45758</v>
      </c>
      <c r="D156" s="30" t="s">
        <v>23</v>
      </c>
      <c r="E156" s="30" t="s">
        <v>19</v>
      </c>
      <c r="F156" s="33">
        <v>20000</v>
      </c>
      <c r="G156" s="31">
        <v>2</v>
      </c>
      <c r="H156" s="30" t="s">
        <v>34</v>
      </c>
      <c r="I156" s="30" t="s">
        <v>21</v>
      </c>
      <c r="J156" s="100" t="s">
        <v>318</v>
      </c>
    </row>
    <row r="157" spans="2:10" ht="15.75" x14ac:dyDescent="0.25">
      <c r="B157" s="98">
        <v>1222</v>
      </c>
      <c r="C157" s="29">
        <v>45759</v>
      </c>
      <c r="D157" s="30" t="s">
        <v>45</v>
      </c>
      <c r="E157" s="30" t="s">
        <v>19</v>
      </c>
      <c r="F157" s="33">
        <v>15000</v>
      </c>
      <c r="G157" s="31">
        <v>2</v>
      </c>
      <c r="H157" s="30" t="s">
        <v>46</v>
      </c>
      <c r="I157" s="30" t="s">
        <v>21</v>
      </c>
      <c r="J157" s="100" t="s">
        <v>318</v>
      </c>
    </row>
    <row r="158" spans="2:10" ht="15.75" x14ac:dyDescent="0.25">
      <c r="B158" s="98">
        <v>1223</v>
      </c>
      <c r="C158" s="29">
        <v>45760</v>
      </c>
      <c r="D158" s="30" t="s">
        <v>33</v>
      </c>
      <c r="E158" s="30" t="s">
        <v>10</v>
      </c>
      <c r="F158" s="33">
        <v>55000</v>
      </c>
      <c r="G158" s="31">
        <v>2</v>
      </c>
      <c r="H158" s="30" t="s">
        <v>28</v>
      </c>
      <c r="I158" s="30" t="s">
        <v>31</v>
      </c>
      <c r="J158" s="100" t="s">
        <v>318</v>
      </c>
    </row>
    <row r="159" spans="2:10" ht="15.75" x14ac:dyDescent="0.25">
      <c r="B159" s="98">
        <v>1224</v>
      </c>
      <c r="C159" s="29">
        <v>45761</v>
      </c>
      <c r="D159" s="30" t="s">
        <v>314</v>
      </c>
      <c r="E159" s="30" t="s">
        <v>10</v>
      </c>
      <c r="F159" s="33">
        <v>52000</v>
      </c>
      <c r="G159" s="31">
        <v>2</v>
      </c>
      <c r="H159" s="30" t="s">
        <v>46</v>
      </c>
      <c r="I159" s="30" t="s">
        <v>29</v>
      </c>
      <c r="J159" s="100" t="s">
        <v>318</v>
      </c>
    </row>
    <row r="160" spans="2:10" ht="15.75" x14ac:dyDescent="0.25">
      <c r="B160" s="98">
        <v>1225</v>
      </c>
      <c r="C160" s="29">
        <v>45762</v>
      </c>
      <c r="D160" s="30" t="s">
        <v>314</v>
      </c>
      <c r="E160" s="30" t="s">
        <v>27</v>
      </c>
      <c r="F160" s="33">
        <v>21000</v>
      </c>
      <c r="G160" s="31">
        <v>3</v>
      </c>
      <c r="H160" s="30" t="s">
        <v>34</v>
      </c>
      <c r="I160" s="30" t="s">
        <v>21</v>
      </c>
      <c r="J160" s="100" t="s">
        <v>318</v>
      </c>
    </row>
    <row r="161" spans="2:10" ht="15.75" x14ac:dyDescent="0.25">
      <c r="B161" s="98">
        <v>1226</v>
      </c>
      <c r="C161" s="29">
        <v>45763</v>
      </c>
      <c r="D161" s="30" t="s">
        <v>33</v>
      </c>
      <c r="E161" s="30" t="s">
        <v>27</v>
      </c>
      <c r="F161" s="33">
        <v>15000</v>
      </c>
      <c r="G161" s="31">
        <v>3</v>
      </c>
      <c r="H161" s="30" t="s">
        <v>38</v>
      </c>
      <c r="I161" s="30" t="s">
        <v>21</v>
      </c>
      <c r="J161" s="100" t="s">
        <v>318</v>
      </c>
    </row>
    <row r="162" spans="2:10" ht="15.75" x14ac:dyDescent="0.25">
      <c r="B162" s="98">
        <v>1227</v>
      </c>
      <c r="C162" s="29">
        <v>45764</v>
      </c>
      <c r="D162" s="30" t="s">
        <v>23</v>
      </c>
      <c r="E162" s="30" t="s">
        <v>27</v>
      </c>
      <c r="F162" s="33">
        <v>55000</v>
      </c>
      <c r="G162" s="31">
        <v>1</v>
      </c>
      <c r="H162" s="30" t="s">
        <v>46</v>
      </c>
      <c r="I162" s="30" t="s">
        <v>53</v>
      </c>
      <c r="J162" s="100" t="s">
        <v>318</v>
      </c>
    </row>
    <row r="163" spans="2:10" ht="15.75" x14ac:dyDescent="0.25">
      <c r="B163" s="98">
        <v>1228</v>
      </c>
      <c r="C163" s="29">
        <v>45765</v>
      </c>
      <c r="D163" s="30" t="s">
        <v>315</v>
      </c>
      <c r="E163" s="30" t="s">
        <v>19</v>
      </c>
      <c r="F163" s="33">
        <v>21000</v>
      </c>
      <c r="G163" s="31">
        <v>2</v>
      </c>
      <c r="H163" s="30" t="s">
        <v>20</v>
      </c>
      <c r="I163" s="30" t="s">
        <v>31</v>
      </c>
      <c r="J163" s="100" t="s">
        <v>318</v>
      </c>
    </row>
    <row r="164" spans="2:10" ht="15.75" x14ac:dyDescent="0.25">
      <c r="B164" s="98">
        <v>1229</v>
      </c>
      <c r="C164" s="29">
        <v>45766</v>
      </c>
      <c r="D164" s="30" t="s">
        <v>314</v>
      </c>
      <c r="E164" s="30" t="s">
        <v>19</v>
      </c>
      <c r="F164" s="33">
        <v>55000</v>
      </c>
      <c r="G164" s="31">
        <v>3</v>
      </c>
      <c r="H164" s="30" t="s">
        <v>38</v>
      </c>
      <c r="I164" s="30" t="s">
        <v>29</v>
      </c>
      <c r="J164" s="100" t="s">
        <v>318</v>
      </c>
    </row>
    <row r="165" spans="2:10" ht="15.75" x14ac:dyDescent="0.25">
      <c r="B165" s="98">
        <v>1232</v>
      </c>
      <c r="C165" s="29">
        <v>45769</v>
      </c>
      <c r="D165" s="30" t="s">
        <v>23</v>
      </c>
      <c r="E165" s="30" t="s">
        <v>19</v>
      </c>
      <c r="F165" s="33">
        <v>48000</v>
      </c>
      <c r="G165" s="31">
        <v>2</v>
      </c>
      <c r="H165" s="30" t="s">
        <v>15</v>
      </c>
      <c r="I165" s="30" t="s">
        <v>29</v>
      </c>
      <c r="J165" s="100" t="s">
        <v>318</v>
      </c>
    </row>
    <row r="166" spans="2:10" ht="15.75" x14ac:dyDescent="0.25">
      <c r="B166" s="98">
        <v>1233</v>
      </c>
      <c r="C166" s="29">
        <v>45770</v>
      </c>
      <c r="D166" s="30" t="s">
        <v>45</v>
      </c>
      <c r="E166" s="30" t="s">
        <v>19</v>
      </c>
      <c r="F166" s="33">
        <v>52000</v>
      </c>
      <c r="G166" s="31">
        <v>2</v>
      </c>
      <c r="H166" s="30" t="s">
        <v>15</v>
      </c>
      <c r="I166" s="30" t="s">
        <v>53</v>
      </c>
      <c r="J166" s="100" t="s">
        <v>318</v>
      </c>
    </row>
    <row r="167" spans="2:10" ht="15.75" x14ac:dyDescent="0.25">
      <c r="B167" s="98">
        <v>1235</v>
      </c>
      <c r="C167" s="29">
        <v>45772</v>
      </c>
      <c r="D167" s="30" t="s">
        <v>315</v>
      </c>
      <c r="E167" s="30" t="s">
        <v>27</v>
      </c>
      <c r="F167" s="33">
        <v>53000</v>
      </c>
      <c r="G167" s="31">
        <v>2</v>
      </c>
      <c r="H167" s="30" t="s">
        <v>20</v>
      </c>
      <c r="I167" s="30" t="s">
        <v>21</v>
      </c>
      <c r="J167" s="100" t="s">
        <v>318</v>
      </c>
    </row>
    <row r="168" spans="2:10" ht="15.75" x14ac:dyDescent="0.25">
      <c r="B168" s="98">
        <v>1236</v>
      </c>
      <c r="C168" s="29">
        <v>45773</v>
      </c>
      <c r="D168" s="30" t="s">
        <v>33</v>
      </c>
      <c r="E168" s="30" t="s">
        <v>19</v>
      </c>
      <c r="F168" s="33">
        <v>53000</v>
      </c>
      <c r="G168" s="31">
        <v>1</v>
      </c>
      <c r="H168" s="30" t="s">
        <v>24</v>
      </c>
      <c r="I168" s="30" t="s">
        <v>21</v>
      </c>
      <c r="J168" s="100" t="s">
        <v>318</v>
      </c>
    </row>
    <row r="169" spans="2:10" ht="15.75" x14ac:dyDescent="0.25">
      <c r="B169" s="98">
        <v>1239</v>
      </c>
      <c r="C169" s="29">
        <v>45776</v>
      </c>
      <c r="D169" s="30" t="s">
        <v>23</v>
      </c>
      <c r="E169" s="30" t="s">
        <v>27</v>
      </c>
      <c r="F169" s="33">
        <v>48000</v>
      </c>
      <c r="G169" s="31">
        <v>3</v>
      </c>
      <c r="H169" s="30" t="s">
        <v>28</v>
      </c>
      <c r="I169" s="30" t="s">
        <v>31</v>
      </c>
      <c r="J169" s="100" t="s">
        <v>318</v>
      </c>
    </row>
    <row r="170" spans="2:10" ht="15.75" x14ac:dyDescent="0.25">
      <c r="B170" s="98">
        <v>1240</v>
      </c>
      <c r="C170" s="29">
        <v>45777</v>
      </c>
      <c r="D170" s="30" t="s">
        <v>33</v>
      </c>
      <c r="E170" s="30" t="s">
        <v>27</v>
      </c>
      <c r="F170" s="33">
        <v>53000</v>
      </c>
      <c r="G170" s="31">
        <v>2</v>
      </c>
      <c r="H170" s="30" t="s">
        <v>38</v>
      </c>
      <c r="I170" s="30" t="s">
        <v>53</v>
      </c>
      <c r="J170" s="100" t="s">
        <v>318</v>
      </c>
    </row>
    <row r="171" spans="2:10" ht="15.75" x14ac:dyDescent="0.25">
      <c r="B171" s="98">
        <v>1241</v>
      </c>
      <c r="C171" s="29">
        <v>45658</v>
      </c>
      <c r="D171" s="30" t="s">
        <v>45</v>
      </c>
      <c r="E171" s="30" t="s">
        <v>19</v>
      </c>
      <c r="F171" s="33">
        <v>55000</v>
      </c>
      <c r="G171" s="31">
        <v>2</v>
      </c>
      <c r="H171" s="30" t="s">
        <v>38</v>
      </c>
      <c r="I171" s="30" t="s">
        <v>31</v>
      </c>
      <c r="J171" s="100" t="s">
        <v>318</v>
      </c>
    </row>
    <row r="172" spans="2:10" ht="15.75" x14ac:dyDescent="0.25">
      <c r="B172" s="98">
        <v>1243</v>
      </c>
      <c r="C172" s="29">
        <v>45660</v>
      </c>
      <c r="D172" s="30" t="s">
        <v>314</v>
      </c>
      <c r="E172" s="30" t="s">
        <v>27</v>
      </c>
      <c r="F172" s="33">
        <v>52000</v>
      </c>
      <c r="G172" s="31">
        <v>2</v>
      </c>
      <c r="H172" s="30" t="s">
        <v>11</v>
      </c>
      <c r="I172" s="30" t="s">
        <v>21</v>
      </c>
      <c r="J172" s="100" t="s">
        <v>318</v>
      </c>
    </row>
    <row r="173" spans="2:10" ht="15.75" x14ac:dyDescent="0.25">
      <c r="B173" s="98">
        <v>1244</v>
      </c>
      <c r="C173" s="29">
        <v>45661</v>
      </c>
      <c r="D173" s="30" t="s">
        <v>23</v>
      </c>
      <c r="E173" s="30" t="s">
        <v>19</v>
      </c>
      <c r="F173" s="33">
        <v>15000</v>
      </c>
      <c r="G173" s="31">
        <v>2</v>
      </c>
      <c r="H173" s="30" t="s">
        <v>46</v>
      </c>
      <c r="I173" s="30" t="s">
        <v>53</v>
      </c>
      <c r="J173" s="100" t="s">
        <v>318</v>
      </c>
    </row>
    <row r="174" spans="2:10" ht="15.75" x14ac:dyDescent="0.25">
      <c r="B174" s="98">
        <v>1246</v>
      </c>
      <c r="C174" s="29">
        <v>45663</v>
      </c>
      <c r="D174" s="30" t="s">
        <v>45</v>
      </c>
      <c r="E174" s="30" t="s">
        <v>27</v>
      </c>
      <c r="F174" s="33">
        <v>48000</v>
      </c>
      <c r="G174" s="31">
        <v>2</v>
      </c>
      <c r="H174" s="30" t="s">
        <v>34</v>
      </c>
      <c r="I174" s="30" t="s">
        <v>31</v>
      </c>
      <c r="J174" s="100" t="s">
        <v>318</v>
      </c>
    </row>
    <row r="175" spans="2:10" ht="15.75" x14ac:dyDescent="0.25">
      <c r="B175" s="98">
        <v>1247</v>
      </c>
      <c r="C175" s="29">
        <v>45664</v>
      </c>
      <c r="D175" s="30" t="s">
        <v>45</v>
      </c>
      <c r="E175" s="30" t="s">
        <v>27</v>
      </c>
      <c r="F175" s="33">
        <v>55000</v>
      </c>
      <c r="G175" s="31">
        <v>3</v>
      </c>
      <c r="H175" s="30" t="s">
        <v>15</v>
      </c>
      <c r="I175" s="30" t="s">
        <v>31</v>
      </c>
      <c r="J175" s="100" t="s">
        <v>318</v>
      </c>
    </row>
    <row r="176" spans="2:10" ht="15.75" x14ac:dyDescent="0.25">
      <c r="B176" s="98">
        <v>1248</v>
      </c>
      <c r="C176" s="29">
        <v>45665</v>
      </c>
      <c r="D176" s="30" t="s">
        <v>315</v>
      </c>
      <c r="E176" s="30" t="s">
        <v>27</v>
      </c>
      <c r="F176" s="33">
        <v>15000</v>
      </c>
      <c r="G176" s="31">
        <v>3</v>
      </c>
      <c r="H176" s="30" t="s">
        <v>46</v>
      </c>
      <c r="I176" s="30" t="s">
        <v>21</v>
      </c>
      <c r="J176" s="100" t="s">
        <v>318</v>
      </c>
    </row>
    <row r="177" spans="2:10" ht="15.75" x14ac:dyDescent="0.25">
      <c r="B177" s="98">
        <v>1250</v>
      </c>
      <c r="C177" s="29">
        <v>45667</v>
      </c>
      <c r="D177" s="30" t="s">
        <v>23</v>
      </c>
      <c r="E177" s="30" t="s">
        <v>19</v>
      </c>
      <c r="F177" s="33">
        <v>52000</v>
      </c>
      <c r="G177" s="31">
        <v>3</v>
      </c>
      <c r="H177" s="30" t="s">
        <v>28</v>
      </c>
      <c r="I177" s="30" t="s">
        <v>21</v>
      </c>
      <c r="J177" s="100" t="s">
        <v>318</v>
      </c>
    </row>
    <row r="178" spans="2:10" ht="15.75" x14ac:dyDescent="0.25">
      <c r="B178" s="98">
        <v>1251</v>
      </c>
      <c r="C178" s="29">
        <v>45668</v>
      </c>
      <c r="D178" s="30" t="s">
        <v>33</v>
      </c>
      <c r="E178" s="30" t="s">
        <v>27</v>
      </c>
      <c r="F178" s="33">
        <v>55000</v>
      </c>
      <c r="G178" s="31">
        <v>3</v>
      </c>
      <c r="H178" s="30" t="s">
        <v>46</v>
      </c>
      <c r="I178" s="30" t="s">
        <v>29</v>
      </c>
      <c r="J178" s="100" t="s">
        <v>318</v>
      </c>
    </row>
    <row r="179" spans="2:10" ht="15.75" x14ac:dyDescent="0.25">
      <c r="B179" s="98">
        <v>1252</v>
      </c>
      <c r="C179" s="29">
        <v>45669</v>
      </c>
      <c r="D179" s="30" t="s">
        <v>33</v>
      </c>
      <c r="E179" s="30" t="s">
        <v>19</v>
      </c>
      <c r="F179" s="33">
        <v>15000</v>
      </c>
      <c r="G179" s="31">
        <v>2</v>
      </c>
      <c r="H179" s="30" t="s">
        <v>15</v>
      </c>
      <c r="I179" s="30" t="s">
        <v>29</v>
      </c>
      <c r="J179" s="100" t="s">
        <v>318</v>
      </c>
    </row>
    <row r="180" spans="2:10" ht="15.75" x14ac:dyDescent="0.25">
      <c r="B180" s="98">
        <v>1253</v>
      </c>
      <c r="C180" s="29">
        <v>45670</v>
      </c>
      <c r="D180" s="30" t="s">
        <v>33</v>
      </c>
      <c r="E180" s="30" t="s">
        <v>27</v>
      </c>
      <c r="F180" s="33">
        <v>15000</v>
      </c>
      <c r="G180" s="31">
        <v>1</v>
      </c>
      <c r="H180" s="30" t="s">
        <v>24</v>
      </c>
      <c r="I180" s="30" t="s">
        <v>53</v>
      </c>
      <c r="J180" s="100" t="s">
        <v>318</v>
      </c>
    </row>
    <row r="181" spans="2:10" ht="15.75" x14ac:dyDescent="0.25">
      <c r="B181" s="98">
        <v>1254</v>
      </c>
      <c r="C181" s="29">
        <v>45671</v>
      </c>
      <c r="D181" s="30" t="s">
        <v>33</v>
      </c>
      <c r="E181" s="30" t="s">
        <v>10</v>
      </c>
      <c r="F181" s="33">
        <v>53000</v>
      </c>
      <c r="G181" s="31">
        <v>3</v>
      </c>
      <c r="H181" s="30" t="s">
        <v>24</v>
      </c>
      <c r="I181" s="30" t="s">
        <v>21</v>
      </c>
      <c r="J181" s="100" t="s">
        <v>318</v>
      </c>
    </row>
    <row r="182" spans="2:10" ht="15.75" x14ac:dyDescent="0.25">
      <c r="B182" s="98">
        <v>1255</v>
      </c>
      <c r="C182" s="29">
        <v>45672</v>
      </c>
      <c r="D182" s="30" t="s">
        <v>33</v>
      </c>
      <c r="E182" s="30" t="s">
        <v>10</v>
      </c>
      <c r="F182" s="33">
        <v>21000</v>
      </c>
      <c r="G182" s="31">
        <v>2</v>
      </c>
      <c r="H182" s="30" t="s">
        <v>20</v>
      </c>
      <c r="I182" s="30" t="s">
        <v>53</v>
      </c>
      <c r="J182" s="100" t="s">
        <v>318</v>
      </c>
    </row>
    <row r="183" spans="2:10" ht="15.75" x14ac:dyDescent="0.25">
      <c r="B183" s="98">
        <v>1257</v>
      </c>
      <c r="C183" s="29">
        <v>45674</v>
      </c>
      <c r="D183" s="30" t="s">
        <v>23</v>
      </c>
      <c r="E183" s="30" t="s">
        <v>27</v>
      </c>
      <c r="F183" s="33">
        <v>55000</v>
      </c>
      <c r="G183" s="31">
        <v>1</v>
      </c>
      <c r="H183" s="30" t="s">
        <v>11</v>
      </c>
      <c r="I183" s="30" t="s">
        <v>21</v>
      </c>
      <c r="J183" s="100" t="s">
        <v>318</v>
      </c>
    </row>
    <row r="184" spans="2:10" ht="15.75" x14ac:dyDescent="0.25">
      <c r="B184" s="98">
        <v>1258</v>
      </c>
      <c r="C184" s="29">
        <v>45675</v>
      </c>
      <c r="D184" s="30" t="s">
        <v>45</v>
      </c>
      <c r="E184" s="30" t="s">
        <v>19</v>
      </c>
      <c r="F184" s="33">
        <v>53000</v>
      </c>
      <c r="G184" s="31">
        <v>3</v>
      </c>
      <c r="H184" s="30" t="s">
        <v>28</v>
      </c>
      <c r="I184" s="30" t="s">
        <v>29</v>
      </c>
      <c r="J184" s="100" t="s">
        <v>318</v>
      </c>
    </row>
    <row r="185" spans="2:10" ht="15.75" x14ac:dyDescent="0.25">
      <c r="B185" s="98">
        <v>1260</v>
      </c>
      <c r="C185" s="29">
        <v>45677</v>
      </c>
      <c r="D185" s="30" t="s">
        <v>23</v>
      </c>
      <c r="E185" s="30" t="s">
        <v>19</v>
      </c>
      <c r="F185" s="33">
        <v>53000</v>
      </c>
      <c r="G185" s="31">
        <v>3</v>
      </c>
      <c r="H185" s="30" t="s">
        <v>28</v>
      </c>
      <c r="I185" s="30" t="s">
        <v>53</v>
      </c>
      <c r="J185" s="100" t="s">
        <v>318</v>
      </c>
    </row>
    <row r="186" spans="2:10" ht="15.75" x14ac:dyDescent="0.25">
      <c r="B186" s="98">
        <v>1263</v>
      </c>
      <c r="C186" s="29">
        <v>45680</v>
      </c>
      <c r="D186" s="30" t="s">
        <v>23</v>
      </c>
      <c r="E186" s="30" t="s">
        <v>19</v>
      </c>
      <c r="F186" s="33">
        <v>53000</v>
      </c>
      <c r="G186" s="31">
        <v>3</v>
      </c>
      <c r="H186" s="30" t="s">
        <v>24</v>
      </c>
      <c r="I186" s="30" t="s">
        <v>53</v>
      </c>
      <c r="J186" s="100" t="s">
        <v>318</v>
      </c>
    </row>
    <row r="187" spans="2:10" ht="15.75" x14ac:dyDescent="0.25">
      <c r="B187" s="98">
        <v>1264</v>
      </c>
      <c r="C187" s="29">
        <v>45681</v>
      </c>
      <c r="D187" s="30" t="s">
        <v>33</v>
      </c>
      <c r="E187" s="30" t="s">
        <v>19</v>
      </c>
      <c r="F187" s="33">
        <v>53000</v>
      </c>
      <c r="G187" s="31">
        <v>2</v>
      </c>
      <c r="H187" s="30" t="s">
        <v>15</v>
      </c>
      <c r="I187" s="30" t="s">
        <v>21</v>
      </c>
      <c r="J187" s="100" t="s">
        <v>318</v>
      </c>
    </row>
    <row r="188" spans="2:10" ht="15.75" x14ac:dyDescent="0.25">
      <c r="B188" s="98">
        <v>1265</v>
      </c>
      <c r="C188" s="29">
        <v>45682</v>
      </c>
      <c r="D188" s="30" t="s">
        <v>45</v>
      </c>
      <c r="E188" s="30" t="s">
        <v>27</v>
      </c>
      <c r="F188" s="33">
        <v>48000</v>
      </c>
      <c r="G188" s="31">
        <v>1</v>
      </c>
      <c r="H188" s="30" t="s">
        <v>20</v>
      </c>
      <c r="I188" s="30" t="s">
        <v>29</v>
      </c>
      <c r="J188" s="100" t="s">
        <v>318</v>
      </c>
    </row>
    <row r="189" spans="2:10" ht="15.75" x14ac:dyDescent="0.25">
      <c r="B189" s="98">
        <v>1266</v>
      </c>
      <c r="C189" s="29">
        <v>45683</v>
      </c>
      <c r="D189" s="30" t="s">
        <v>23</v>
      </c>
      <c r="E189" s="30" t="s">
        <v>10</v>
      </c>
      <c r="F189" s="33">
        <v>21000</v>
      </c>
      <c r="G189" s="31">
        <v>3</v>
      </c>
      <c r="H189" s="30" t="s">
        <v>24</v>
      </c>
      <c r="I189" s="30" t="s">
        <v>53</v>
      </c>
      <c r="J189" s="100" t="s">
        <v>318</v>
      </c>
    </row>
    <row r="190" spans="2:10" ht="15.75" x14ac:dyDescent="0.25">
      <c r="B190" s="98">
        <v>1267</v>
      </c>
      <c r="C190" s="29">
        <v>45684</v>
      </c>
      <c r="D190" s="30" t="s">
        <v>33</v>
      </c>
      <c r="E190" s="30" t="s">
        <v>10</v>
      </c>
      <c r="F190" s="33">
        <v>55000</v>
      </c>
      <c r="G190" s="31">
        <v>1</v>
      </c>
      <c r="H190" s="30" t="s">
        <v>15</v>
      </c>
      <c r="I190" s="30" t="s">
        <v>53</v>
      </c>
      <c r="J190" s="100" t="s">
        <v>318</v>
      </c>
    </row>
    <row r="191" spans="2:10" ht="15.75" x14ac:dyDescent="0.25">
      <c r="B191" s="98">
        <v>1268</v>
      </c>
      <c r="C191" s="29">
        <v>45685</v>
      </c>
      <c r="D191" s="30" t="s">
        <v>23</v>
      </c>
      <c r="E191" s="30" t="s">
        <v>19</v>
      </c>
      <c r="F191" s="33">
        <v>15000</v>
      </c>
      <c r="G191" s="31">
        <v>1</v>
      </c>
      <c r="H191" s="30" t="s">
        <v>34</v>
      </c>
      <c r="I191" s="30" t="s">
        <v>31</v>
      </c>
      <c r="J191" s="100" t="s">
        <v>318</v>
      </c>
    </row>
    <row r="192" spans="2:10" ht="15.75" x14ac:dyDescent="0.25">
      <c r="B192" s="98">
        <v>1269</v>
      </c>
      <c r="C192" s="29">
        <v>45686</v>
      </c>
      <c r="D192" s="30" t="s">
        <v>33</v>
      </c>
      <c r="E192" s="30" t="s">
        <v>19</v>
      </c>
      <c r="F192" s="33">
        <v>15000</v>
      </c>
      <c r="G192" s="31">
        <v>1</v>
      </c>
      <c r="H192" s="30" t="s">
        <v>24</v>
      </c>
      <c r="I192" s="30" t="s">
        <v>21</v>
      </c>
      <c r="J192" s="100" t="s">
        <v>318</v>
      </c>
    </row>
    <row r="193" spans="2:10" ht="15.75" x14ac:dyDescent="0.25">
      <c r="B193" s="98">
        <v>1270</v>
      </c>
      <c r="C193" s="29">
        <v>45687</v>
      </c>
      <c r="D193" s="30" t="s">
        <v>45</v>
      </c>
      <c r="E193" s="30" t="s">
        <v>27</v>
      </c>
      <c r="F193" s="33">
        <v>55000</v>
      </c>
      <c r="G193" s="31">
        <v>1</v>
      </c>
      <c r="H193" s="30" t="s">
        <v>46</v>
      </c>
      <c r="I193" s="30" t="s">
        <v>21</v>
      </c>
      <c r="J193" s="100" t="s">
        <v>318</v>
      </c>
    </row>
    <row r="194" spans="2:10" ht="15.75" x14ac:dyDescent="0.25">
      <c r="B194" s="98">
        <v>1271</v>
      </c>
      <c r="C194" s="29">
        <v>45688</v>
      </c>
      <c r="D194" s="30" t="s">
        <v>33</v>
      </c>
      <c r="E194" s="30" t="s">
        <v>19</v>
      </c>
      <c r="F194" s="33">
        <v>20000</v>
      </c>
      <c r="G194" s="31">
        <v>1</v>
      </c>
      <c r="H194" s="30" t="s">
        <v>15</v>
      </c>
      <c r="I194" s="30" t="s">
        <v>31</v>
      </c>
      <c r="J194" s="100" t="s">
        <v>318</v>
      </c>
    </row>
    <row r="195" spans="2:10" ht="15.75" x14ac:dyDescent="0.25">
      <c r="B195" s="98">
        <v>1273</v>
      </c>
      <c r="C195" s="29">
        <v>45690</v>
      </c>
      <c r="D195" s="30" t="s">
        <v>45</v>
      </c>
      <c r="E195" s="30" t="s">
        <v>19</v>
      </c>
      <c r="F195" s="33">
        <v>15000</v>
      </c>
      <c r="G195" s="31">
        <v>1</v>
      </c>
      <c r="H195" s="30" t="s">
        <v>11</v>
      </c>
      <c r="I195" s="30" t="s">
        <v>29</v>
      </c>
      <c r="J195" s="100" t="s">
        <v>318</v>
      </c>
    </row>
    <row r="196" spans="2:10" ht="15.75" x14ac:dyDescent="0.25">
      <c r="B196" s="98">
        <v>1274</v>
      </c>
      <c r="C196" s="29">
        <v>45691</v>
      </c>
      <c r="D196" s="30" t="s">
        <v>23</v>
      </c>
      <c r="E196" s="30" t="s">
        <v>27</v>
      </c>
      <c r="F196" s="33">
        <v>55000</v>
      </c>
      <c r="G196" s="31">
        <v>2</v>
      </c>
      <c r="H196" s="30" t="s">
        <v>20</v>
      </c>
      <c r="I196" s="30" t="s">
        <v>29</v>
      </c>
      <c r="J196" s="100" t="s">
        <v>318</v>
      </c>
    </row>
    <row r="197" spans="2:10" ht="15.75" x14ac:dyDescent="0.25">
      <c r="B197" s="98">
        <v>1276</v>
      </c>
      <c r="C197" s="29">
        <v>45693</v>
      </c>
      <c r="D197" s="30" t="s">
        <v>33</v>
      </c>
      <c r="E197" s="30" t="s">
        <v>19</v>
      </c>
      <c r="F197" s="33">
        <v>20000</v>
      </c>
      <c r="G197" s="31">
        <v>1</v>
      </c>
      <c r="H197" s="30" t="s">
        <v>38</v>
      </c>
      <c r="I197" s="30" t="s">
        <v>31</v>
      </c>
      <c r="J197" s="100" t="s">
        <v>318</v>
      </c>
    </row>
    <row r="198" spans="2:10" ht="15.75" x14ac:dyDescent="0.25">
      <c r="B198" s="98">
        <v>1277</v>
      </c>
      <c r="C198" s="29">
        <v>45694</v>
      </c>
      <c r="D198" s="30" t="s">
        <v>23</v>
      </c>
      <c r="E198" s="30" t="s">
        <v>19</v>
      </c>
      <c r="F198" s="33">
        <v>20000</v>
      </c>
      <c r="G198" s="31">
        <v>1</v>
      </c>
      <c r="H198" s="30" t="s">
        <v>46</v>
      </c>
      <c r="I198" s="30" t="s">
        <v>53</v>
      </c>
      <c r="J198" s="100" t="s">
        <v>318</v>
      </c>
    </row>
    <row r="199" spans="2:10" ht="15.75" x14ac:dyDescent="0.25">
      <c r="B199" s="98">
        <v>1278</v>
      </c>
      <c r="C199" s="29">
        <v>45695</v>
      </c>
      <c r="D199" s="30" t="s">
        <v>33</v>
      </c>
      <c r="E199" s="30" t="s">
        <v>27</v>
      </c>
      <c r="F199" s="33">
        <v>52000</v>
      </c>
      <c r="G199" s="31">
        <v>1</v>
      </c>
      <c r="H199" s="30" t="s">
        <v>11</v>
      </c>
      <c r="I199" s="30" t="s">
        <v>31</v>
      </c>
      <c r="J199" s="100" t="s">
        <v>318</v>
      </c>
    </row>
    <row r="200" spans="2:10" ht="15.75" x14ac:dyDescent="0.25">
      <c r="B200" s="98">
        <v>1279</v>
      </c>
      <c r="C200" s="29">
        <v>45696</v>
      </c>
      <c r="D200" s="30" t="s">
        <v>45</v>
      </c>
      <c r="E200" s="30" t="s">
        <v>27</v>
      </c>
      <c r="F200" s="33">
        <v>20000</v>
      </c>
      <c r="G200" s="31">
        <v>2</v>
      </c>
      <c r="H200" s="30" t="s">
        <v>28</v>
      </c>
      <c r="I200" s="30" t="s">
        <v>31</v>
      </c>
      <c r="J200" s="100" t="s">
        <v>318</v>
      </c>
    </row>
    <row r="201" spans="2:10" ht="15.75" x14ac:dyDescent="0.25">
      <c r="B201" s="98">
        <v>1280</v>
      </c>
      <c r="C201" s="29">
        <v>45697</v>
      </c>
      <c r="D201" s="30" t="s">
        <v>315</v>
      </c>
      <c r="E201" s="30" t="s">
        <v>19</v>
      </c>
      <c r="F201" s="33">
        <v>53000</v>
      </c>
      <c r="G201" s="31">
        <v>3</v>
      </c>
      <c r="H201" s="30" t="s">
        <v>24</v>
      </c>
      <c r="I201" s="30" t="s">
        <v>21</v>
      </c>
      <c r="J201" s="100" t="s">
        <v>318</v>
      </c>
    </row>
    <row r="202" spans="2:10" ht="15.75" x14ac:dyDescent="0.25">
      <c r="B202" s="98">
        <v>1281</v>
      </c>
      <c r="C202" s="29">
        <v>45698</v>
      </c>
      <c r="D202" s="30" t="s">
        <v>23</v>
      </c>
      <c r="E202" s="30" t="s">
        <v>27</v>
      </c>
      <c r="F202" s="33">
        <v>53000</v>
      </c>
      <c r="G202" s="31">
        <v>2</v>
      </c>
      <c r="H202" s="30" t="s">
        <v>28</v>
      </c>
      <c r="I202" s="30" t="s">
        <v>53</v>
      </c>
      <c r="J202" s="100" t="s">
        <v>318</v>
      </c>
    </row>
    <row r="203" spans="2:10" ht="15.75" x14ac:dyDescent="0.25">
      <c r="B203" s="98">
        <v>1284</v>
      </c>
      <c r="C203" s="29">
        <v>45701</v>
      </c>
      <c r="D203" s="30" t="s">
        <v>23</v>
      </c>
      <c r="E203" s="30" t="s">
        <v>19</v>
      </c>
      <c r="F203" s="33">
        <v>20000</v>
      </c>
      <c r="G203" s="31">
        <v>1</v>
      </c>
      <c r="H203" s="30" t="s">
        <v>15</v>
      </c>
      <c r="I203" s="30" t="s">
        <v>21</v>
      </c>
      <c r="J203" s="100" t="s">
        <v>318</v>
      </c>
    </row>
    <row r="204" spans="2:10" ht="15.75" x14ac:dyDescent="0.25">
      <c r="B204" s="98">
        <v>1285</v>
      </c>
      <c r="C204" s="29">
        <v>45702</v>
      </c>
      <c r="D204" s="30" t="s">
        <v>33</v>
      </c>
      <c r="E204" s="30" t="s">
        <v>10</v>
      </c>
      <c r="F204" s="33">
        <v>21000</v>
      </c>
      <c r="G204" s="31">
        <v>1</v>
      </c>
      <c r="H204" s="30" t="s">
        <v>46</v>
      </c>
      <c r="I204" s="30" t="s">
        <v>31</v>
      </c>
      <c r="J204" s="100" t="s">
        <v>318</v>
      </c>
    </row>
    <row r="205" spans="2:10" ht="15.75" x14ac:dyDescent="0.25">
      <c r="B205" s="98">
        <v>1286</v>
      </c>
      <c r="C205" s="29">
        <v>45703</v>
      </c>
      <c r="D205" s="30" t="s">
        <v>23</v>
      </c>
      <c r="E205" s="30" t="s">
        <v>19</v>
      </c>
      <c r="F205" s="33">
        <v>20000</v>
      </c>
      <c r="G205" s="31">
        <v>1</v>
      </c>
      <c r="H205" s="30" t="s">
        <v>38</v>
      </c>
      <c r="I205" s="30" t="s">
        <v>21</v>
      </c>
      <c r="J205" s="100" t="s">
        <v>318</v>
      </c>
    </row>
    <row r="206" spans="2:10" ht="15.75" x14ac:dyDescent="0.25">
      <c r="B206" s="98">
        <v>1287</v>
      </c>
      <c r="C206" s="29">
        <v>45704</v>
      </c>
      <c r="D206" s="30" t="s">
        <v>315</v>
      </c>
      <c r="E206" s="30" t="s">
        <v>19</v>
      </c>
      <c r="F206" s="33">
        <v>20000</v>
      </c>
      <c r="G206" s="31">
        <v>1</v>
      </c>
      <c r="H206" s="30" t="s">
        <v>38</v>
      </c>
      <c r="I206" s="30" t="s">
        <v>31</v>
      </c>
      <c r="J206" s="100" t="s">
        <v>318</v>
      </c>
    </row>
    <row r="207" spans="2:10" ht="15.75" x14ac:dyDescent="0.25">
      <c r="B207" s="98">
        <v>1288</v>
      </c>
      <c r="C207" s="29">
        <v>45705</v>
      </c>
      <c r="D207" s="30" t="s">
        <v>33</v>
      </c>
      <c r="E207" s="30" t="s">
        <v>19</v>
      </c>
      <c r="F207" s="33">
        <v>21000</v>
      </c>
      <c r="G207" s="31">
        <v>2</v>
      </c>
      <c r="H207" s="30" t="s">
        <v>24</v>
      </c>
      <c r="I207" s="30" t="s">
        <v>31</v>
      </c>
      <c r="J207" s="100" t="s">
        <v>318</v>
      </c>
    </row>
    <row r="208" spans="2:10" ht="15.75" x14ac:dyDescent="0.25">
      <c r="B208" s="98">
        <v>1289</v>
      </c>
      <c r="C208" s="29">
        <v>45706</v>
      </c>
      <c r="D208" s="30" t="s">
        <v>33</v>
      </c>
      <c r="E208" s="30" t="s">
        <v>19</v>
      </c>
      <c r="F208" s="33">
        <v>15000</v>
      </c>
      <c r="G208" s="31">
        <v>2</v>
      </c>
      <c r="H208" s="30" t="s">
        <v>20</v>
      </c>
      <c r="I208" s="30" t="s">
        <v>21</v>
      </c>
      <c r="J208" s="100" t="s">
        <v>318</v>
      </c>
    </row>
    <row r="209" spans="2:10" ht="15.75" x14ac:dyDescent="0.25">
      <c r="B209" s="98">
        <v>1291</v>
      </c>
      <c r="C209" s="29">
        <v>45708</v>
      </c>
      <c r="D209" s="30" t="s">
        <v>45</v>
      </c>
      <c r="E209" s="30" t="s">
        <v>27</v>
      </c>
      <c r="F209" s="33">
        <v>53000</v>
      </c>
      <c r="G209" s="31">
        <v>1</v>
      </c>
      <c r="H209" s="30" t="s">
        <v>34</v>
      </c>
      <c r="I209" s="30" t="s">
        <v>21</v>
      </c>
      <c r="J209" s="100" t="s">
        <v>318</v>
      </c>
    </row>
    <row r="210" spans="2:10" ht="15.75" x14ac:dyDescent="0.25">
      <c r="B210" s="98">
        <v>1292</v>
      </c>
      <c r="C210" s="29">
        <v>45709</v>
      </c>
      <c r="D210" s="30" t="s">
        <v>33</v>
      </c>
      <c r="E210" s="30" t="s">
        <v>19</v>
      </c>
      <c r="F210" s="33">
        <v>48000</v>
      </c>
      <c r="G210" s="31">
        <v>3</v>
      </c>
      <c r="H210" s="30" t="s">
        <v>15</v>
      </c>
      <c r="I210" s="30" t="s">
        <v>21</v>
      </c>
      <c r="J210" s="100" t="s">
        <v>318</v>
      </c>
    </row>
    <row r="211" spans="2:10" ht="15.75" x14ac:dyDescent="0.25">
      <c r="B211" s="98">
        <v>1294</v>
      </c>
      <c r="C211" s="29">
        <v>45711</v>
      </c>
      <c r="D211" s="30" t="s">
        <v>33</v>
      </c>
      <c r="E211" s="30" t="s">
        <v>27</v>
      </c>
      <c r="F211" s="33">
        <v>48000</v>
      </c>
      <c r="G211" s="31">
        <v>2</v>
      </c>
      <c r="H211" s="30" t="s">
        <v>46</v>
      </c>
      <c r="I211" s="30" t="s">
        <v>31</v>
      </c>
      <c r="J211" s="100" t="s">
        <v>318</v>
      </c>
    </row>
    <row r="212" spans="2:10" ht="15.75" x14ac:dyDescent="0.25">
      <c r="B212" s="98">
        <v>1295</v>
      </c>
      <c r="C212" s="29">
        <v>45712</v>
      </c>
      <c r="D212" s="30" t="s">
        <v>45</v>
      </c>
      <c r="E212" s="30" t="s">
        <v>19</v>
      </c>
      <c r="F212" s="33">
        <v>21000</v>
      </c>
      <c r="G212" s="31">
        <v>1</v>
      </c>
      <c r="H212" s="30" t="s">
        <v>28</v>
      </c>
      <c r="I212" s="30" t="s">
        <v>53</v>
      </c>
      <c r="J212" s="100" t="s">
        <v>318</v>
      </c>
    </row>
    <row r="213" spans="2:10" ht="15.75" x14ac:dyDescent="0.25">
      <c r="B213" s="98">
        <v>1296</v>
      </c>
      <c r="C213" s="29">
        <v>45713</v>
      </c>
      <c r="D213" s="30" t="s">
        <v>314</v>
      </c>
      <c r="E213" s="30" t="s">
        <v>19</v>
      </c>
      <c r="F213" s="33">
        <v>15000</v>
      </c>
      <c r="G213" s="31">
        <v>1</v>
      </c>
      <c r="H213" s="30" t="s">
        <v>15</v>
      </c>
      <c r="I213" s="30" t="s">
        <v>53</v>
      </c>
      <c r="J213" s="100" t="s">
        <v>318</v>
      </c>
    </row>
    <row r="214" spans="2:10" ht="15.75" x14ac:dyDescent="0.25">
      <c r="B214" s="98">
        <v>1299</v>
      </c>
      <c r="C214" s="29">
        <v>45716</v>
      </c>
      <c r="D214" s="30" t="s">
        <v>45</v>
      </c>
      <c r="E214" s="30" t="s">
        <v>19</v>
      </c>
      <c r="F214" s="33">
        <v>21000</v>
      </c>
      <c r="G214" s="31">
        <v>2</v>
      </c>
      <c r="H214" s="30" t="s">
        <v>46</v>
      </c>
      <c r="I214" s="30" t="s">
        <v>21</v>
      </c>
      <c r="J214" s="100" t="s">
        <v>318</v>
      </c>
    </row>
    <row r="215" spans="2:10" ht="15.75" x14ac:dyDescent="0.25">
      <c r="B215" s="98">
        <v>1300</v>
      </c>
      <c r="C215" s="29">
        <v>45717</v>
      </c>
      <c r="D215" s="30" t="s">
        <v>45</v>
      </c>
      <c r="E215" s="30" t="s">
        <v>10</v>
      </c>
      <c r="F215" s="33">
        <v>15000</v>
      </c>
      <c r="G215" s="31">
        <v>3</v>
      </c>
      <c r="H215" s="30" t="s">
        <v>34</v>
      </c>
      <c r="I215" s="30" t="s">
        <v>53</v>
      </c>
      <c r="J215" s="100" t="s">
        <v>318</v>
      </c>
    </row>
    <row r="216" spans="2:10" ht="15.75" x14ac:dyDescent="0.25">
      <c r="B216" s="98">
        <v>1301</v>
      </c>
      <c r="C216" s="29">
        <v>45718</v>
      </c>
      <c r="D216" s="30" t="s">
        <v>23</v>
      </c>
      <c r="E216" s="30" t="s">
        <v>27</v>
      </c>
      <c r="F216" s="33">
        <v>53000</v>
      </c>
      <c r="G216" s="31">
        <v>1</v>
      </c>
      <c r="H216" s="30" t="s">
        <v>38</v>
      </c>
      <c r="I216" s="30" t="s">
        <v>53</v>
      </c>
      <c r="J216" s="100" t="s">
        <v>318</v>
      </c>
    </row>
    <row r="217" spans="2:10" ht="15.75" x14ac:dyDescent="0.25">
      <c r="B217" s="98">
        <v>1303</v>
      </c>
      <c r="C217" s="29">
        <v>45720</v>
      </c>
      <c r="D217" s="30" t="s">
        <v>314</v>
      </c>
      <c r="E217" s="30" t="s">
        <v>19</v>
      </c>
      <c r="F217" s="33">
        <v>52000</v>
      </c>
      <c r="G217" s="31">
        <v>2</v>
      </c>
      <c r="H217" s="30" t="s">
        <v>11</v>
      </c>
      <c r="I217" s="30" t="s">
        <v>31</v>
      </c>
      <c r="J217" s="100" t="s">
        <v>318</v>
      </c>
    </row>
    <row r="218" spans="2:10" ht="15.75" x14ac:dyDescent="0.25">
      <c r="B218" s="98">
        <v>1305</v>
      </c>
      <c r="C218" s="29">
        <v>45722</v>
      </c>
      <c r="D218" s="30" t="s">
        <v>33</v>
      </c>
      <c r="E218" s="30" t="s">
        <v>27</v>
      </c>
      <c r="F218" s="33">
        <v>21000</v>
      </c>
      <c r="G218" s="31">
        <v>1</v>
      </c>
      <c r="H218" s="30" t="s">
        <v>24</v>
      </c>
      <c r="I218" s="30" t="s">
        <v>29</v>
      </c>
      <c r="J218" s="100" t="s">
        <v>318</v>
      </c>
    </row>
    <row r="219" spans="2:10" ht="15.75" x14ac:dyDescent="0.25">
      <c r="B219" s="98">
        <v>1306</v>
      </c>
      <c r="C219" s="29">
        <v>45723</v>
      </c>
      <c r="D219" s="30" t="s">
        <v>33</v>
      </c>
      <c r="E219" s="30" t="s">
        <v>27</v>
      </c>
      <c r="F219" s="33">
        <v>15000</v>
      </c>
      <c r="G219" s="31">
        <v>2</v>
      </c>
      <c r="H219" s="30" t="s">
        <v>15</v>
      </c>
      <c r="I219" s="30" t="s">
        <v>53</v>
      </c>
      <c r="J219" s="100" t="s">
        <v>318</v>
      </c>
    </row>
    <row r="220" spans="2:10" ht="15.75" x14ac:dyDescent="0.25">
      <c r="B220" s="98">
        <v>1311</v>
      </c>
      <c r="C220" s="29">
        <v>45728</v>
      </c>
      <c r="D220" s="30" t="s">
        <v>23</v>
      </c>
      <c r="E220" s="30" t="s">
        <v>19</v>
      </c>
      <c r="F220" s="33">
        <v>21000</v>
      </c>
      <c r="G220" s="31">
        <v>3</v>
      </c>
      <c r="H220" s="30" t="s">
        <v>34</v>
      </c>
      <c r="I220" s="30" t="s">
        <v>53</v>
      </c>
      <c r="J220" s="100" t="s">
        <v>318</v>
      </c>
    </row>
    <row r="221" spans="2:10" ht="15.75" x14ac:dyDescent="0.25">
      <c r="B221" s="98">
        <v>1312</v>
      </c>
      <c r="C221" s="29">
        <v>45729</v>
      </c>
      <c r="D221" s="30" t="s">
        <v>23</v>
      </c>
      <c r="E221" s="30" t="s">
        <v>27</v>
      </c>
      <c r="F221" s="33">
        <v>20000</v>
      </c>
      <c r="G221" s="31">
        <v>1</v>
      </c>
      <c r="H221" s="30" t="s">
        <v>38</v>
      </c>
      <c r="I221" s="30" t="s">
        <v>29</v>
      </c>
      <c r="J221" s="100" t="s">
        <v>318</v>
      </c>
    </row>
    <row r="222" spans="2:10" ht="15.75" x14ac:dyDescent="0.25">
      <c r="B222" s="98">
        <v>1313</v>
      </c>
      <c r="C222" s="29">
        <v>45730</v>
      </c>
      <c r="D222" s="30" t="s">
        <v>315</v>
      </c>
      <c r="E222" s="30" t="s">
        <v>19</v>
      </c>
      <c r="F222" s="33">
        <v>48000</v>
      </c>
      <c r="G222" s="31">
        <v>3</v>
      </c>
      <c r="H222" s="30" t="s">
        <v>24</v>
      </c>
      <c r="I222" s="30" t="s">
        <v>21</v>
      </c>
      <c r="J222" s="100" t="s">
        <v>318</v>
      </c>
    </row>
    <row r="223" spans="2:10" ht="15.75" x14ac:dyDescent="0.25">
      <c r="B223" s="98">
        <v>1314</v>
      </c>
      <c r="C223" s="29">
        <v>45731</v>
      </c>
      <c r="D223" s="30" t="s">
        <v>23</v>
      </c>
      <c r="E223" s="30" t="s">
        <v>27</v>
      </c>
      <c r="F223" s="33">
        <v>21000</v>
      </c>
      <c r="G223" s="31">
        <v>2</v>
      </c>
      <c r="H223" s="30" t="s">
        <v>15</v>
      </c>
      <c r="I223" s="30" t="s">
        <v>29</v>
      </c>
      <c r="J223" s="100" t="s">
        <v>318</v>
      </c>
    </row>
    <row r="224" spans="2:10" ht="15.75" x14ac:dyDescent="0.25">
      <c r="B224" s="98">
        <v>1315</v>
      </c>
      <c r="C224" s="29">
        <v>45732</v>
      </c>
      <c r="D224" s="30" t="s">
        <v>45</v>
      </c>
      <c r="E224" s="30" t="s">
        <v>27</v>
      </c>
      <c r="F224" s="33">
        <v>20000</v>
      </c>
      <c r="G224" s="31">
        <v>3</v>
      </c>
      <c r="H224" s="30" t="s">
        <v>24</v>
      </c>
      <c r="I224" s="30" t="s">
        <v>53</v>
      </c>
      <c r="J224" s="100" t="s">
        <v>318</v>
      </c>
    </row>
    <row r="225" spans="2:10" ht="15.75" x14ac:dyDescent="0.25">
      <c r="B225" s="98">
        <v>1316</v>
      </c>
      <c r="C225" s="29">
        <v>45733</v>
      </c>
      <c r="D225" s="30" t="s">
        <v>23</v>
      </c>
      <c r="E225" s="30" t="s">
        <v>27</v>
      </c>
      <c r="F225" s="33">
        <v>53000</v>
      </c>
      <c r="G225" s="31">
        <v>3</v>
      </c>
      <c r="H225" s="30" t="s">
        <v>11</v>
      </c>
      <c r="I225" s="30" t="s">
        <v>31</v>
      </c>
      <c r="J225" s="100" t="s">
        <v>318</v>
      </c>
    </row>
    <row r="226" spans="2:10" ht="15.75" x14ac:dyDescent="0.25">
      <c r="B226" s="98">
        <v>1317</v>
      </c>
      <c r="C226" s="29">
        <v>45734</v>
      </c>
      <c r="D226" s="30" t="s">
        <v>23</v>
      </c>
      <c r="E226" s="30" t="s">
        <v>10</v>
      </c>
      <c r="F226" s="33">
        <v>48000</v>
      </c>
      <c r="G226" s="31">
        <v>1</v>
      </c>
      <c r="H226" s="30" t="s">
        <v>20</v>
      </c>
      <c r="I226" s="30" t="s">
        <v>53</v>
      </c>
      <c r="J226" s="100" t="s">
        <v>318</v>
      </c>
    </row>
    <row r="227" spans="2:10" ht="15.75" x14ac:dyDescent="0.25">
      <c r="B227" s="98">
        <v>1321</v>
      </c>
      <c r="C227" s="29">
        <v>45738</v>
      </c>
      <c r="D227" s="30" t="s">
        <v>45</v>
      </c>
      <c r="E227" s="30" t="s">
        <v>27</v>
      </c>
      <c r="F227" s="33">
        <v>48000</v>
      </c>
      <c r="G227" s="31">
        <v>2</v>
      </c>
      <c r="H227" s="30" t="s">
        <v>28</v>
      </c>
      <c r="I227" s="30" t="s">
        <v>29</v>
      </c>
      <c r="J227" s="100" t="s">
        <v>318</v>
      </c>
    </row>
    <row r="228" spans="2:10" ht="15.75" x14ac:dyDescent="0.25">
      <c r="B228" s="98">
        <v>1322</v>
      </c>
      <c r="C228" s="29">
        <v>45739</v>
      </c>
      <c r="D228" s="30" t="s">
        <v>314</v>
      </c>
      <c r="E228" s="30" t="s">
        <v>27</v>
      </c>
      <c r="F228" s="33">
        <v>21000</v>
      </c>
      <c r="G228" s="31">
        <v>1</v>
      </c>
      <c r="H228" s="30" t="s">
        <v>38</v>
      </c>
      <c r="I228" s="30" t="s">
        <v>21</v>
      </c>
      <c r="J228" s="100" t="s">
        <v>318</v>
      </c>
    </row>
    <row r="229" spans="2:10" ht="15.75" x14ac:dyDescent="0.25">
      <c r="B229" s="98">
        <v>1324</v>
      </c>
      <c r="C229" s="29">
        <v>45741</v>
      </c>
      <c r="D229" s="30" t="s">
        <v>23</v>
      </c>
      <c r="E229" s="30" t="s">
        <v>19</v>
      </c>
      <c r="F229" s="33">
        <v>15000</v>
      </c>
      <c r="G229" s="31">
        <v>1</v>
      </c>
      <c r="H229" s="30" t="s">
        <v>11</v>
      </c>
      <c r="I229" s="30" t="s">
        <v>53</v>
      </c>
      <c r="J229" s="100" t="s">
        <v>318</v>
      </c>
    </row>
    <row r="230" spans="2:10" ht="15.75" x14ac:dyDescent="0.25">
      <c r="B230" s="98">
        <v>1325</v>
      </c>
      <c r="C230" s="29">
        <v>45742</v>
      </c>
      <c r="D230" s="30" t="s">
        <v>23</v>
      </c>
      <c r="E230" s="30" t="s">
        <v>27</v>
      </c>
      <c r="F230" s="33">
        <v>55000</v>
      </c>
      <c r="G230" s="31">
        <v>2</v>
      </c>
      <c r="H230" s="30" t="s">
        <v>38</v>
      </c>
      <c r="I230" s="30" t="s">
        <v>29</v>
      </c>
      <c r="J230" s="100" t="s">
        <v>318</v>
      </c>
    </row>
    <row r="231" spans="2:10" ht="15.75" x14ac:dyDescent="0.25">
      <c r="B231" s="98">
        <v>1327</v>
      </c>
      <c r="C231" s="29">
        <v>45744</v>
      </c>
      <c r="D231" s="30" t="s">
        <v>314</v>
      </c>
      <c r="E231" s="30" t="s">
        <v>27</v>
      </c>
      <c r="F231" s="33">
        <v>53000</v>
      </c>
      <c r="G231" s="31">
        <v>3</v>
      </c>
      <c r="H231" s="30" t="s">
        <v>38</v>
      </c>
      <c r="I231" s="30" t="s">
        <v>53</v>
      </c>
      <c r="J231" s="100" t="s">
        <v>318</v>
      </c>
    </row>
    <row r="232" spans="2:10" ht="15.75" x14ac:dyDescent="0.25">
      <c r="B232" s="98">
        <v>1328</v>
      </c>
      <c r="C232" s="29">
        <v>45745</v>
      </c>
      <c r="D232" s="30" t="s">
        <v>23</v>
      </c>
      <c r="E232" s="30" t="s">
        <v>19</v>
      </c>
      <c r="F232" s="33">
        <v>48000</v>
      </c>
      <c r="G232" s="31">
        <v>2</v>
      </c>
      <c r="H232" s="30" t="s">
        <v>15</v>
      </c>
      <c r="I232" s="30" t="s">
        <v>29</v>
      </c>
      <c r="J232" s="100" t="s">
        <v>318</v>
      </c>
    </row>
    <row r="233" spans="2:10" ht="15.75" x14ac:dyDescent="0.25">
      <c r="B233" s="98">
        <v>1332</v>
      </c>
      <c r="C233" s="29">
        <v>45749</v>
      </c>
      <c r="D233" s="30" t="s">
        <v>315</v>
      </c>
      <c r="E233" s="30" t="s">
        <v>19</v>
      </c>
      <c r="F233" s="33">
        <v>55000</v>
      </c>
      <c r="G233" s="31">
        <v>2</v>
      </c>
      <c r="H233" s="30" t="s">
        <v>28</v>
      </c>
      <c r="I233" s="30" t="s">
        <v>31</v>
      </c>
      <c r="J233" s="100" t="s">
        <v>318</v>
      </c>
    </row>
    <row r="234" spans="2:10" ht="15.75" x14ac:dyDescent="0.25">
      <c r="B234" s="98">
        <v>1334</v>
      </c>
      <c r="C234" s="29">
        <v>45751</v>
      </c>
      <c r="D234" s="30" t="s">
        <v>315</v>
      </c>
      <c r="E234" s="30" t="s">
        <v>27</v>
      </c>
      <c r="F234" s="33">
        <v>48000</v>
      </c>
      <c r="G234" s="31">
        <v>3</v>
      </c>
      <c r="H234" s="30" t="s">
        <v>20</v>
      </c>
      <c r="I234" s="30" t="s">
        <v>29</v>
      </c>
      <c r="J234" s="100" t="s">
        <v>318</v>
      </c>
    </row>
    <row r="235" spans="2:10" ht="15.75" x14ac:dyDescent="0.25">
      <c r="B235" s="98">
        <v>1335</v>
      </c>
      <c r="C235" s="29">
        <v>45752</v>
      </c>
      <c r="D235" s="30" t="s">
        <v>23</v>
      </c>
      <c r="E235" s="30" t="s">
        <v>19</v>
      </c>
      <c r="F235" s="33">
        <v>53000</v>
      </c>
      <c r="G235" s="31">
        <v>3</v>
      </c>
      <c r="H235" s="30" t="s">
        <v>38</v>
      </c>
      <c r="I235" s="30" t="s">
        <v>21</v>
      </c>
      <c r="J235" s="100" t="s">
        <v>318</v>
      </c>
    </row>
    <row r="236" spans="2:10" ht="15.75" x14ac:dyDescent="0.25">
      <c r="B236" s="98">
        <v>1336</v>
      </c>
      <c r="C236" s="29">
        <v>45753</v>
      </c>
      <c r="D236" s="30" t="s">
        <v>33</v>
      </c>
      <c r="E236" s="30" t="s">
        <v>10</v>
      </c>
      <c r="F236" s="33">
        <v>15000</v>
      </c>
      <c r="G236" s="31">
        <v>2</v>
      </c>
      <c r="H236" s="30" t="s">
        <v>34</v>
      </c>
      <c r="I236" s="30" t="s">
        <v>21</v>
      </c>
      <c r="J236" s="100" t="s">
        <v>318</v>
      </c>
    </row>
    <row r="237" spans="2:10" ht="15.75" x14ac:dyDescent="0.25">
      <c r="B237" s="98">
        <v>1338</v>
      </c>
      <c r="C237" s="29">
        <v>45755</v>
      </c>
      <c r="D237" s="30" t="s">
        <v>314</v>
      </c>
      <c r="E237" s="30" t="s">
        <v>19</v>
      </c>
      <c r="F237" s="33">
        <v>55000</v>
      </c>
      <c r="G237" s="31">
        <v>1</v>
      </c>
      <c r="H237" s="30" t="s">
        <v>20</v>
      </c>
      <c r="I237" s="30" t="s">
        <v>53</v>
      </c>
      <c r="J237" s="100" t="s">
        <v>318</v>
      </c>
    </row>
    <row r="238" spans="2:10" ht="15.75" x14ac:dyDescent="0.25">
      <c r="B238" s="98">
        <v>1340</v>
      </c>
      <c r="C238" s="29">
        <v>45757</v>
      </c>
      <c r="D238" s="30" t="s">
        <v>33</v>
      </c>
      <c r="E238" s="30" t="s">
        <v>19</v>
      </c>
      <c r="F238" s="33">
        <v>20000</v>
      </c>
      <c r="G238" s="31">
        <v>1</v>
      </c>
      <c r="H238" s="30" t="s">
        <v>20</v>
      </c>
      <c r="I238" s="30" t="s">
        <v>21</v>
      </c>
      <c r="J238" s="100" t="s">
        <v>318</v>
      </c>
    </row>
    <row r="239" spans="2:10" ht="15.75" x14ac:dyDescent="0.25">
      <c r="B239" s="98">
        <v>1341</v>
      </c>
      <c r="C239" s="29">
        <v>45758</v>
      </c>
      <c r="D239" s="30" t="s">
        <v>23</v>
      </c>
      <c r="E239" s="30" t="s">
        <v>27</v>
      </c>
      <c r="F239" s="33">
        <v>15000</v>
      </c>
      <c r="G239" s="31">
        <v>3</v>
      </c>
      <c r="H239" s="30" t="s">
        <v>11</v>
      </c>
      <c r="I239" s="30" t="s">
        <v>21</v>
      </c>
      <c r="J239" s="100" t="s">
        <v>318</v>
      </c>
    </row>
    <row r="240" spans="2:10" ht="15.75" x14ac:dyDescent="0.25">
      <c r="B240" s="98">
        <v>1343</v>
      </c>
      <c r="C240" s="29">
        <v>45760</v>
      </c>
      <c r="D240" s="30" t="s">
        <v>33</v>
      </c>
      <c r="E240" s="30" t="s">
        <v>27</v>
      </c>
      <c r="F240" s="33">
        <v>52000</v>
      </c>
      <c r="G240" s="31">
        <v>2</v>
      </c>
      <c r="H240" s="30" t="s">
        <v>46</v>
      </c>
      <c r="I240" s="30" t="s">
        <v>53</v>
      </c>
      <c r="J240" s="100" t="s">
        <v>318</v>
      </c>
    </row>
    <row r="241" spans="2:10" ht="15.75" x14ac:dyDescent="0.25">
      <c r="B241" s="98">
        <v>1344</v>
      </c>
      <c r="C241" s="29">
        <v>45761</v>
      </c>
      <c r="D241" s="30" t="s">
        <v>315</v>
      </c>
      <c r="E241" s="30" t="s">
        <v>19</v>
      </c>
      <c r="F241" s="33">
        <v>55000</v>
      </c>
      <c r="G241" s="31">
        <v>3</v>
      </c>
      <c r="H241" s="30" t="s">
        <v>20</v>
      </c>
      <c r="I241" s="30" t="s">
        <v>53</v>
      </c>
      <c r="J241" s="100" t="s">
        <v>318</v>
      </c>
    </row>
    <row r="242" spans="2:10" ht="15.75" x14ac:dyDescent="0.25">
      <c r="B242" s="98">
        <v>1346</v>
      </c>
      <c r="C242" s="29">
        <v>45763</v>
      </c>
      <c r="D242" s="30" t="s">
        <v>45</v>
      </c>
      <c r="E242" s="30" t="s">
        <v>27</v>
      </c>
      <c r="F242" s="33">
        <v>20000</v>
      </c>
      <c r="G242" s="31">
        <v>1</v>
      </c>
      <c r="H242" s="30" t="s">
        <v>11</v>
      </c>
      <c r="I242" s="30" t="s">
        <v>29</v>
      </c>
      <c r="J242" s="100" t="s">
        <v>318</v>
      </c>
    </row>
    <row r="243" spans="2:10" ht="15.75" x14ac:dyDescent="0.25">
      <c r="B243" s="98">
        <v>1347</v>
      </c>
      <c r="C243" s="29">
        <v>45764</v>
      </c>
      <c r="D243" s="30" t="s">
        <v>23</v>
      </c>
      <c r="E243" s="30" t="s">
        <v>19</v>
      </c>
      <c r="F243" s="33">
        <v>20000</v>
      </c>
      <c r="G243" s="31">
        <v>2</v>
      </c>
      <c r="H243" s="30" t="s">
        <v>11</v>
      </c>
      <c r="I243" s="30" t="s">
        <v>21</v>
      </c>
      <c r="J243" s="100" t="s">
        <v>318</v>
      </c>
    </row>
    <row r="244" spans="2:10" ht="15.75" x14ac:dyDescent="0.25">
      <c r="B244" s="98">
        <v>1349</v>
      </c>
      <c r="C244" s="29">
        <v>45766</v>
      </c>
      <c r="D244" s="30" t="s">
        <v>314</v>
      </c>
      <c r="E244" s="30" t="s">
        <v>10</v>
      </c>
      <c r="F244" s="33">
        <v>20000</v>
      </c>
      <c r="G244" s="31">
        <v>1</v>
      </c>
      <c r="H244" s="30" t="s">
        <v>15</v>
      </c>
      <c r="I244" s="30" t="s">
        <v>31</v>
      </c>
      <c r="J244" s="100" t="s">
        <v>318</v>
      </c>
    </row>
    <row r="245" spans="2:10" ht="15.75" x14ac:dyDescent="0.25">
      <c r="B245" s="98">
        <v>1350</v>
      </c>
      <c r="C245" s="29">
        <v>45767</v>
      </c>
      <c r="D245" s="30" t="s">
        <v>33</v>
      </c>
      <c r="E245" s="30" t="s">
        <v>19</v>
      </c>
      <c r="F245" s="33">
        <v>21000</v>
      </c>
      <c r="G245" s="31">
        <v>1</v>
      </c>
      <c r="H245" s="30" t="s">
        <v>15</v>
      </c>
      <c r="I245" s="30" t="s">
        <v>53</v>
      </c>
      <c r="J245" s="100" t="s">
        <v>318</v>
      </c>
    </row>
    <row r="246" spans="2:10" ht="15.75" x14ac:dyDescent="0.25">
      <c r="B246" s="98">
        <v>1351</v>
      </c>
      <c r="C246" s="29">
        <v>45768</v>
      </c>
      <c r="D246" s="30" t="s">
        <v>33</v>
      </c>
      <c r="E246" s="30" t="s">
        <v>27</v>
      </c>
      <c r="F246" s="33">
        <v>20000</v>
      </c>
      <c r="G246" s="31">
        <v>2</v>
      </c>
      <c r="H246" s="30" t="s">
        <v>11</v>
      </c>
      <c r="I246" s="30" t="s">
        <v>21</v>
      </c>
      <c r="J246" s="100" t="s">
        <v>318</v>
      </c>
    </row>
    <row r="247" spans="2:10" ht="15.75" x14ac:dyDescent="0.25">
      <c r="B247" s="98">
        <v>1352</v>
      </c>
      <c r="C247" s="29">
        <v>45769</v>
      </c>
      <c r="D247" s="30" t="s">
        <v>315</v>
      </c>
      <c r="E247" s="30" t="s">
        <v>19</v>
      </c>
      <c r="F247" s="33">
        <v>15000</v>
      </c>
      <c r="G247" s="31">
        <v>3</v>
      </c>
      <c r="H247" s="30" t="s">
        <v>15</v>
      </c>
      <c r="I247" s="30" t="s">
        <v>53</v>
      </c>
      <c r="J247" s="100" t="s">
        <v>318</v>
      </c>
    </row>
    <row r="248" spans="2:10" ht="15.75" x14ac:dyDescent="0.25">
      <c r="B248" s="98">
        <v>1354</v>
      </c>
      <c r="C248" s="29">
        <v>45771</v>
      </c>
      <c r="D248" s="30" t="s">
        <v>33</v>
      </c>
      <c r="E248" s="30" t="s">
        <v>27</v>
      </c>
      <c r="F248" s="33">
        <v>21000</v>
      </c>
      <c r="G248" s="31">
        <v>1</v>
      </c>
      <c r="H248" s="30" t="s">
        <v>38</v>
      </c>
      <c r="I248" s="30" t="s">
        <v>53</v>
      </c>
      <c r="J248" s="100" t="s">
        <v>318</v>
      </c>
    </row>
    <row r="249" spans="2:10" ht="15.75" x14ac:dyDescent="0.25">
      <c r="B249" s="98">
        <v>1355</v>
      </c>
      <c r="C249" s="29">
        <v>45772</v>
      </c>
      <c r="D249" s="30" t="s">
        <v>23</v>
      </c>
      <c r="E249" s="30" t="s">
        <v>27</v>
      </c>
      <c r="F249" s="33">
        <v>15000</v>
      </c>
      <c r="G249" s="31">
        <v>1</v>
      </c>
      <c r="H249" s="30" t="s">
        <v>34</v>
      </c>
      <c r="I249" s="30" t="s">
        <v>21</v>
      </c>
      <c r="J249" s="100" t="s">
        <v>318</v>
      </c>
    </row>
    <row r="250" spans="2:10" ht="15.75" x14ac:dyDescent="0.25">
      <c r="B250" s="98">
        <v>1356</v>
      </c>
      <c r="C250" s="29">
        <v>45773</v>
      </c>
      <c r="D250" s="30" t="s">
        <v>23</v>
      </c>
      <c r="E250" s="30" t="s">
        <v>10</v>
      </c>
      <c r="F250" s="33">
        <v>15000</v>
      </c>
      <c r="G250" s="31">
        <v>3</v>
      </c>
      <c r="H250" s="30" t="s">
        <v>15</v>
      </c>
      <c r="I250" s="30" t="s">
        <v>31</v>
      </c>
      <c r="J250" s="100" t="s">
        <v>318</v>
      </c>
    </row>
    <row r="251" spans="2:10" ht="15.75" x14ac:dyDescent="0.25">
      <c r="B251" s="98">
        <v>1357</v>
      </c>
      <c r="C251" s="29">
        <v>45774</v>
      </c>
      <c r="D251" s="30" t="s">
        <v>315</v>
      </c>
      <c r="E251" s="30" t="s">
        <v>19</v>
      </c>
      <c r="F251" s="33">
        <v>52000</v>
      </c>
      <c r="G251" s="31">
        <v>2</v>
      </c>
      <c r="H251" s="30" t="s">
        <v>15</v>
      </c>
      <c r="I251" s="30" t="s">
        <v>53</v>
      </c>
      <c r="J251" s="100" t="s">
        <v>318</v>
      </c>
    </row>
    <row r="252" spans="2:10" ht="15.75" x14ac:dyDescent="0.25">
      <c r="B252" s="98">
        <v>1358</v>
      </c>
      <c r="C252" s="29">
        <v>45775</v>
      </c>
      <c r="D252" s="30" t="s">
        <v>315</v>
      </c>
      <c r="E252" s="30" t="s">
        <v>27</v>
      </c>
      <c r="F252" s="33">
        <v>55000</v>
      </c>
      <c r="G252" s="31">
        <v>2</v>
      </c>
      <c r="H252" s="30" t="s">
        <v>46</v>
      </c>
      <c r="I252" s="30" t="s">
        <v>21</v>
      </c>
      <c r="J252" s="100" t="s">
        <v>318</v>
      </c>
    </row>
    <row r="253" spans="2:10" ht="15.75" x14ac:dyDescent="0.25">
      <c r="B253" s="98">
        <v>1359</v>
      </c>
      <c r="C253" s="29">
        <v>45776</v>
      </c>
      <c r="D253" s="30" t="s">
        <v>45</v>
      </c>
      <c r="E253" s="30" t="s">
        <v>10</v>
      </c>
      <c r="F253" s="33">
        <v>53000</v>
      </c>
      <c r="G253" s="31">
        <v>2</v>
      </c>
      <c r="H253" s="30" t="s">
        <v>34</v>
      </c>
      <c r="I253" s="30" t="s">
        <v>21</v>
      </c>
      <c r="J253" s="100" t="s">
        <v>318</v>
      </c>
    </row>
    <row r="254" spans="2:10" ht="15.75" x14ac:dyDescent="0.25">
      <c r="B254" s="98">
        <v>1361</v>
      </c>
      <c r="C254" s="29">
        <v>45658</v>
      </c>
      <c r="D254" s="30" t="s">
        <v>45</v>
      </c>
      <c r="E254" s="30" t="s">
        <v>19</v>
      </c>
      <c r="F254" s="33">
        <v>53000</v>
      </c>
      <c r="G254" s="31">
        <v>3</v>
      </c>
      <c r="H254" s="30" t="s">
        <v>11</v>
      </c>
      <c r="I254" s="30" t="s">
        <v>21</v>
      </c>
      <c r="J254" s="100" t="s">
        <v>318</v>
      </c>
    </row>
    <row r="255" spans="2:10" ht="15.75" x14ac:dyDescent="0.25">
      <c r="B255" s="98">
        <v>1363</v>
      </c>
      <c r="C255" s="29">
        <v>45660</v>
      </c>
      <c r="D255" s="30" t="s">
        <v>314</v>
      </c>
      <c r="E255" s="30" t="s">
        <v>27</v>
      </c>
      <c r="F255" s="33">
        <v>53000</v>
      </c>
      <c r="G255" s="31">
        <v>3</v>
      </c>
      <c r="H255" s="30" t="s">
        <v>24</v>
      </c>
      <c r="I255" s="30" t="s">
        <v>31</v>
      </c>
      <c r="J255" s="100" t="s">
        <v>318</v>
      </c>
    </row>
    <row r="256" spans="2:10" ht="15.75" x14ac:dyDescent="0.25">
      <c r="B256" s="98">
        <v>1366</v>
      </c>
      <c r="C256" s="29">
        <v>45663</v>
      </c>
      <c r="D256" s="30" t="s">
        <v>314</v>
      </c>
      <c r="E256" s="30" t="s">
        <v>27</v>
      </c>
      <c r="F256" s="33">
        <v>48000</v>
      </c>
      <c r="G256" s="31">
        <v>2</v>
      </c>
      <c r="H256" s="30" t="s">
        <v>20</v>
      </c>
      <c r="I256" s="30" t="s">
        <v>53</v>
      </c>
      <c r="J256" s="100" t="s">
        <v>318</v>
      </c>
    </row>
    <row r="257" spans="2:10" ht="15.75" x14ac:dyDescent="0.25">
      <c r="B257" s="98">
        <v>1367</v>
      </c>
      <c r="C257" s="29">
        <v>45664</v>
      </c>
      <c r="D257" s="30" t="s">
        <v>33</v>
      </c>
      <c r="E257" s="30" t="s">
        <v>19</v>
      </c>
      <c r="F257" s="33">
        <v>15000</v>
      </c>
      <c r="G257" s="31">
        <v>2</v>
      </c>
      <c r="H257" s="30" t="s">
        <v>28</v>
      </c>
      <c r="I257" s="30" t="s">
        <v>31</v>
      </c>
      <c r="J257" s="100" t="s">
        <v>318</v>
      </c>
    </row>
    <row r="258" spans="2:10" ht="15.75" x14ac:dyDescent="0.25">
      <c r="B258" s="98">
        <v>1369</v>
      </c>
      <c r="C258" s="29">
        <v>45666</v>
      </c>
      <c r="D258" s="30" t="s">
        <v>33</v>
      </c>
      <c r="E258" s="30" t="s">
        <v>27</v>
      </c>
      <c r="F258" s="33">
        <v>21000</v>
      </c>
      <c r="G258" s="31">
        <v>1</v>
      </c>
      <c r="H258" s="30" t="s">
        <v>15</v>
      </c>
      <c r="I258" s="30" t="s">
        <v>53</v>
      </c>
      <c r="J258" s="100" t="s">
        <v>318</v>
      </c>
    </row>
    <row r="259" spans="2:10" ht="15.75" x14ac:dyDescent="0.25">
      <c r="B259" s="98">
        <v>1370</v>
      </c>
      <c r="C259" s="29">
        <v>45667</v>
      </c>
      <c r="D259" s="30" t="s">
        <v>45</v>
      </c>
      <c r="E259" s="30" t="s">
        <v>19</v>
      </c>
      <c r="F259" s="33">
        <v>53000</v>
      </c>
      <c r="G259" s="31">
        <v>3</v>
      </c>
      <c r="H259" s="30" t="s">
        <v>24</v>
      </c>
      <c r="I259" s="30" t="s">
        <v>29</v>
      </c>
      <c r="J259" s="100" t="s">
        <v>318</v>
      </c>
    </row>
    <row r="260" spans="2:10" ht="15.75" x14ac:dyDescent="0.25">
      <c r="B260" s="98">
        <v>1371</v>
      </c>
      <c r="C260" s="29">
        <v>45668</v>
      </c>
      <c r="D260" s="30" t="s">
        <v>23</v>
      </c>
      <c r="E260" s="30" t="s">
        <v>19</v>
      </c>
      <c r="F260" s="33">
        <v>21000</v>
      </c>
      <c r="G260" s="31">
        <v>1</v>
      </c>
      <c r="H260" s="30" t="s">
        <v>11</v>
      </c>
      <c r="I260" s="30" t="s">
        <v>21</v>
      </c>
      <c r="J260" s="100" t="s">
        <v>318</v>
      </c>
    </row>
    <row r="261" spans="2:10" ht="15.75" x14ac:dyDescent="0.25">
      <c r="B261" s="98">
        <v>1372</v>
      </c>
      <c r="C261" s="29">
        <v>45669</v>
      </c>
      <c r="D261" s="30" t="s">
        <v>315</v>
      </c>
      <c r="E261" s="30" t="s">
        <v>19</v>
      </c>
      <c r="F261" s="33">
        <v>15000</v>
      </c>
      <c r="G261" s="31">
        <v>3</v>
      </c>
      <c r="H261" s="30" t="s">
        <v>46</v>
      </c>
      <c r="I261" s="30" t="s">
        <v>53</v>
      </c>
      <c r="J261" s="100" t="s">
        <v>318</v>
      </c>
    </row>
    <row r="262" spans="2:10" ht="15.75" x14ac:dyDescent="0.25">
      <c r="B262" s="98">
        <v>1374</v>
      </c>
      <c r="C262" s="29">
        <v>45671</v>
      </c>
      <c r="D262" s="30" t="s">
        <v>23</v>
      </c>
      <c r="E262" s="30" t="s">
        <v>10</v>
      </c>
      <c r="F262" s="33">
        <v>21000</v>
      </c>
      <c r="G262" s="31">
        <v>3</v>
      </c>
      <c r="H262" s="30" t="s">
        <v>15</v>
      </c>
      <c r="I262" s="30" t="s">
        <v>53</v>
      </c>
      <c r="J262" s="100" t="s">
        <v>318</v>
      </c>
    </row>
    <row r="263" spans="2:10" ht="15.75" x14ac:dyDescent="0.25">
      <c r="B263" s="98">
        <v>1377</v>
      </c>
      <c r="C263" s="29">
        <v>45674</v>
      </c>
      <c r="D263" s="30" t="s">
        <v>314</v>
      </c>
      <c r="E263" s="30" t="s">
        <v>27</v>
      </c>
      <c r="F263" s="33">
        <v>52000</v>
      </c>
      <c r="G263" s="31">
        <v>2</v>
      </c>
      <c r="H263" s="30" t="s">
        <v>46</v>
      </c>
      <c r="I263" s="30" t="s">
        <v>31</v>
      </c>
      <c r="J263" s="100" t="s">
        <v>318</v>
      </c>
    </row>
    <row r="264" spans="2:10" ht="15.75" x14ac:dyDescent="0.25">
      <c r="B264" s="98">
        <v>1378</v>
      </c>
      <c r="C264" s="29">
        <v>45675</v>
      </c>
      <c r="D264" s="30" t="s">
        <v>314</v>
      </c>
      <c r="E264" s="30" t="s">
        <v>27</v>
      </c>
      <c r="F264" s="33">
        <v>21000</v>
      </c>
      <c r="G264" s="31">
        <v>3</v>
      </c>
      <c r="H264" s="30" t="s">
        <v>28</v>
      </c>
      <c r="I264" s="30" t="s">
        <v>21</v>
      </c>
      <c r="J264" s="100" t="s">
        <v>318</v>
      </c>
    </row>
    <row r="265" spans="2:10" ht="15.75" x14ac:dyDescent="0.25">
      <c r="B265" s="98">
        <v>1379</v>
      </c>
      <c r="C265" s="29">
        <v>45676</v>
      </c>
      <c r="D265" s="30" t="s">
        <v>45</v>
      </c>
      <c r="E265" s="30" t="s">
        <v>19</v>
      </c>
      <c r="F265" s="33">
        <v>48000</v>
      </c>
      <c r="G265" s="31">
        <v>3</v>
      </c>
      <c r="H265" s="30" t="s">
        <v>34</v>
      </c>
      <c r="I265" s="30" t="s">
        <v>29</v>
      </c>
      <c r="J265" s="100" t="s">
        <v>318</v>
      </c>
    </row>
    <row r="266" spans="2:10" ht="15.75" x14ac:dyDescent="0.25">
      <c r="B266" s="98">
        <v>1381</v>
      </c>
      <c r="C266" s="29">
        <v>45678</v>
      </c>
      <c r="D266" s="30" t="s">
        <v>33</v>
      </c>
      <c r="E266" s="30" t="s">
        <v>27</v>
      </c>
      <c r="F266" s="33">
        <v>21000</v>
      </c>
      <c r="G266" s="31">
        <v>2</v>
      </c>
      <c r="H266" s="30" t="s">
        <v>28</v>
      </c>
      <c r="I266" s="30" t="s">
        <v>31</v>
      </c>
      <c r="J266" s="100" t="s">
        <v>318</v>
      </c>
    </row>
    <row r="267" spans="2:10" ht="15.75" x14ac:dyDescent="0.25">
      <c r="B267" s="98">
        <v>1383</v>
      </c>
      <c r="C267" s="29">
        <v>45680</v>
      </c>
      <c r="D267" s="30" t="s">
        <v>23</v>
      </c>
      <c r="E267" s="30" t="s">
        <v>19</v>
      </c>
      <c r="F267" s="33">
        <v>15000</v>
      </c>
      <c r="G267" s="31">
        <v>1</v>
      </c>
      <c r="H267" s="30" t="s">
        <v>24</v>
      </c>
      <c r="I267" s="30" t="s">
        <v>21</v>
      </c>
      <c r="J267" s="100" t="s">
        <v>318</v>
      </c>
    </row>
    <row r="268" spans="2:10" ht="15.75" x14ac:dyDescent="0.25">
      <c r="B268" s="98">
        <v>1384</v>
      </c>
      <c r="C268" s="29">
        <v>45681</v>
      </c>
      <c r="D268" s="30" t="s">
        <v>315</v>
      </c>
      <c r="E268" s="30" t="s">
        <v>27</v>
      </c>
      <c r="F268" s="33">
        <v>15000</v>
      </c>
      <c r="G268" s="31">
        <v>1</v>
      </c>
      <c r="H268" s="30" t="s">
        <v>34</v>
      </c>
      <c r="I268" s="30" t="s">
        <v>53</v>
      </c>
      <c r="J268" s="100" t="s">
        <v>318</v>
      </c>
    </row>
    <row r="269" spans="2:10" ht="15.75" x14ac:dyDescent="0.25">
      <c r="B269" s="98">
        <v>1386</v>
      </c>
      <c r="C269" s="29">
        <v>45683</v>
      </c>
      <c r="D269" s="30" t="s">
        <v>33</v>
      </c>
      <c r="E269" s="30" t="s">
        <v>19</v>
      </c>
      <c r="F269" s="33">
        <v>48000</v>
      </c>
      <c r="G269" s="31">
        <v>3</v>
      </c>
      <c r="H269" s="30" t="s">
        <v>15</v>
      </c>
      <c r="I269" s="30" t="s">
        <v>53</v>
      </c>
      <c r="J269" s="100" t="s">
        <v>318</v>
      </c>
    </row>
    <row r="270" spans="2:10" ht="15.75" x14ac:dyDescent="0.25">
      <c r="B270" s="98">
        <v>1387</v>
      </c>
      <c r="C270" s="29">
        <v>45684</v>
      </c>
      <c r="D270" s="30" t="s">
        <v>33</v>
      </c>
      <c r="E270" s="30" t="s">
        <v>19</v>
      </c>
      <c r="F270" s="33">
        <v>15000</v>
      </c>
      <c r="G270" s="31">
        <v>3</v>
      </c>
      <c r="H270" s="30" t="s">
        <v>34</v>
      </c>
      <c r="I270" s="30" t="s">
        <v>29</v>
      </c>
      <c r="J270" s="100" t="s">
        <v>318</v>
      </c>
    </row>
    <row r="271" spans="2:10" ht="15.75" x14ac:dyDescent="0.25">
      <c r="B271" s="98">
        <v>1388</v>
      </c>
      <c r="C271" s="29">
        <v>45685</v>
      </c>
      <c r="D271" s="30" t="s">
        <v>315</v>
      </c>
      <c r="E271" s="30" t="s">
        <v>19</v>
      </c>
      <c r="F271" s="33">
        <v>55000</v>
      </c>
      <c r="G271" s="31">
        <v>3</v>
      </c>
      <c r="H271" s="30" t="s">
        <v>34</v>
      </c>
      <c r="I271" s="30" t="s">
        <v>53</v>
      </c>
      <c r="J271" s="100" t="s">
        <v>318</v>
      </c>
    </row>
    <row r="272" spans="2:10" ht="15.75" x14ac:dyDescent="0.25">
      <c r="B272" s="98">
        <v>1389</v>
      </c>
      <c r="C272" s="29">
        <v>45686</v>
      </c>
      <c r="D272" s="30" t="s">
        <v>314</v>
      </c>
      <c r="E272" s="30" t="s">
        <v>10</v>
      </c>
      <c r="F272" s="33">
        <v>20000</v>
      </c>
      <c r="G272" s="31">
        <v>3</v>
      </c>
      <c r="H272" s="30" t="s">
        <v>34</v>
      </c>
      <c r="I272" s="30" t="s">
        <v>53</v>
      </c>
      <c r="J272" s="100" t="s">
        <v>318</v>
      </c>
    </row>
    <row r="273" spans="2:10" ht="15.75" x14ac:dyDescent="0.25">
      <c r="B273" s="98">
        <v>1391</v>
      </c>
      <c r="C273" s="29">
        <v>45688</v>
      </c>
      <c r="D273" s="30" t="s">
        <v>33</v>
      </c>
      <c r="E273" s="30" t="s">
        <v>19</v>
      </c>
      <c r="F273" s="33">
        <v>48000</v>
      </c>
      <c r="G273" s="31">
        <v>3</v>
      </c>
      <c r="H273" s="30" t="s">
        <v>34</v>
      </c>
      <c r="I273" s="30" t="s">
        <v>29</v>
      </c>
      <c r="J273" s="100" t="s">
        <v>318</v>
      </c>
    </row>
    <row r="274" spans="2:10" ht="15.75" x14ac:dyDescent="0.25">
      <c r="B274" s="98">
        <v>1393</v>
      </c>
      <c r="C274" s="29">
        <v>45690</v>
      </c>
      <c r="D274" s="30" t="s">
        <v>33</v>
      </c>
      <c r="E274" s="30" t="s">
        <v>10</v>
      </c>
      <c r="F274" s="33">
        <v>48000</v>
      </c>
      <c r="G274" s="31">
        <v>3</v>
      </c>
      <c r="H274" s="30" t="s">
        <v>24</v>
      </c>
      <c r="I274" s="30" t="s">
        <v>29</v>
      </c>
      <c r="J274" s="100" t="s">
        <v>318</v>
      </c>
    </row>
    <row r="275" spans="2:10" ht="15.75" x14ac:dyDescent="0.25">
      <c r="B275" s="98">
        <v>1395</v>
      </c>
      <c r="C275" s="29">
        <v>45692</v>
      </c>
      <c r="D275" s="30" t="s">
        <v>33</v>
      </c>
      <c r="E275" s="30" t="s">
        <v>19</v>
      </c>
      <c r="F275" s="33">
        <v>55000</v>
      </c>
      <c r="G275" s="31">
        <v>2</v>
      </c>
      <c r="H275" s="30" t="s">
        <v>11</v>
      </c>
      <c r="I275" s="30" t="s">
        <v>29</v>
      </c>
      <c r="J275" s="100" t="s">
        <v>318</v>
      </c>
    </row>
    <row r="276" spans="2:10" ht="15.75" x14ac:dyDescent="0.25">
      <c r="B276" s="98">
        <v>1396</v>
      </c>
      <c r="C276" s="29">
        <v>45693</v>
      </c>
      <c r="D276" s="30" t="s">
        <v>314</v>
      </c>
      <c r="E276" s="30" t="s">
        <v>19</v>
      </c>
      <c r="F276" s="33">
        <v>53000</v>
      </c>
      <c r="G276" s="31">
        <v>2</v>
      </c>
      <c r="H276" s="30" t="s">
        <v>34</v>
      </c>
      <c r="I276" s="30" t="s">
        <v>21</v>
      </c>
      <c r="J276" s="100" t="s">
        <v>318</v>
      </c>
    </row>
    <row r="277" spans="2:10" ht="15.75" x14ac:dyDescent="0.25">
      <c r="B277" s="98">
        <v>1397</v>
      </c>
      <c r="C277" s="29">
        <v>45694</v>
      </c>
      <c r="D277" s="30" t="s">
        <v>315</v>
      </c>
      <c r="E277" s="30" t="s">
        <v>19</v>
      </c>
      <c r="F277" s="33">
        <v>55000</v>
      </c>
      <c r="G277" s="31">
        <v>1</v>
      </c>
      <c r="H277" s="30" t="s">
        <v>11</v>
      </c>
      <c r="I277" s="30" t="s">
        <v>21</v>
      </c>
      <c r="J277" s="100" t="s">
        <v>318</v>
      </c>
    </row>
    <row r="278" spans="2:10" ht="15.75" x14ac:dyDescent="0.25">
      <c r="B278" s="98">
        <v>1401</v>
      </c>
      <c r="C278" s="29">
        <v>45698</v>
      </c>
      <c r="D278" s="30" t="s">
        <v>33</v>
      </c>
      <c r="E278" s="30" t="s">
        <v>10</v>
      </c>
      <c r="F278" s="33">
        <v>53000</v>
      </c>
      <c r="G278" s="31">
        <v>2</v>
      </c>
      <c r="H278" s="30" t="s">
        <v>15</v>
      </c>
      <c r="I278" s="30" t="s">
        <v>53</v>
      </c>
      <c r="J278" s="100" t="s">
        <v>318</v>
      </c>
    </row>
    <row r="279" spans="2:10" ht="15.75" x14ac:dyDescent="0.25">
      <c r="B279" s="98">
        <v>1402</v>
      </c>
      <c r="C279" s="29">
        <v>45699</v>
      </c>
      <c r="D279" s="30" t="s">
        <v>23</v>
      </c>
      <c r="E279" s="30" t="s">
        <v>19</v>
      </c>
      <c r="F279" s="33">
        <v>48000</v>
      </c>
      <c r="G279" s="31">
        <v>2</v>
      </c>
      <c r="H279" s="30" t="s">
        <v>15</v>
      </c>
      <c r="I279" s="30" t="s">
        <v>53</v>
      </c>
      <c r="J279" s="100" t="s">
        <v>318</v>
      </c>
    </row>
    <row r="280" spans="2:10" ht="15.75" x14ac:dyDescent="0.25">
      <c r="B280" s="98">
        <v>1403</v>
      </c>
      <c r="C280" s="29">
        <v>45700</v>
      </c>
      <c r="D280" s="30" t="s">
        <v>314</v>
      </c>
      <c r="E280" s="30" t="s">
        <v>19</v>
      </c>
      <c r="F280" s="33">
        <v>53000</v>
      </c>
      <c r="G280" s="31">
        <v>2</v>
      </c>
      <c r="H280" s="30" t="s">
        <v>20</v>
      </c>
      <c r="I280" s="30" t="s">
        <v>53</v>
      </c>
      <c r="J280" s="100" t="s">
        <v>318</v>
      </c>
    </row>
    <row r="281" spans="2:10" ht="15.75" x14ac:dyDescent="0.25">
      <c r="B281" s="98">
        <v>1404</v>
      </c>
      <c r="C281" s="29">
        <v>45701</v>
      </c>
      <c r="D281" s="30" t="s">
        <v>23</v>
      </c>
      <c r="E281" s="30" t="s">
        <v>19</v>
      </c>
      <c r="F281" s="33">
        <v>52000</v>
      </c>
      <c r="G281" s="31">
        <v>2</v>
      </c>
      <c r="H281" s="30" t="s">
        <v>11</v>
      </c>
      <c r="I281" s="30" t="s">
        <v>31</v>
      </c>
      <c r="J281" s="100" t="s">
        <v>318</v>
      </c>
    </row>
    <row r="282" spans="2:10" ht="15.75" x14ac:dyDescent="0.25">
      <c r="B282" s="98">
        <v>1408</v>
      </c>
      <c r="C282" s="29">
        <v>45705</v>
      </c>
      <c r="D282" s="30" t="s">
        <v>23</v>
      </c>
      <c r="E282" s="30" t="s">
        <v>19</v>
      </c>
      <c r="F282" s="33">
        <v>21000</v>
      </c>
      <c r="G282" s="31">
        <v>1</v>
      </c>
      <c r="H282" s="30" t="s">
        <v>24</v>
      </c>
      <c r="I282" s="30" t="s">
        <v>53</v>
      </c>
      <c r="J282" s="100" t="s">
        <v>318</v>
      </c>
    </row>
    <row r="283" spans="2:10" ht="15.75" x14ac:dyDescent="0.25">
      <c r="B283" s="98">
        <v>1412</v>
      </c>
      <c r="C283" s="29">
        <v>45709</v>
      </c>
      <c r="D283" s="30" t="s">
        <v>33</v>
      </c>
      <c r="E283" s="30" t="s">
        <v>27</v>
      </c>
      <c r="F283" s="33">
        <v>52000</v>
      </c>
      <c r="G283" s="31">
        <v>2</v>
      </c>
      <c r="H283" s="30" t="s">
        <v>11</v>
      </c>
      <c r="I283" s="30" t="s">
        <v>21</v>
      </c>
      <c r="J283" s="100" t="s">
        <v>318</v>
      </c>
    </row>
    <row r="284" spans="2:10" ht="15.75" x14ac:dyDescent="0.25">
      <c r="B284" s="98">
        <v>1413</v>
      </c>
      <c r="C284" s="29">
        <v>45710</v>
      </c>
      <c r="D284" s="30" t="s">
        <v>33</v>
      </c>
      <c r="E284" s="30" t="s">
        <v>10</v>
      </c>
      <c r="F284" s="33">
        <v>55000</v>
      </c>
      <c r="G284" s="31">
        <v>1</v>
      </c>
      <c r="H284" s="30" t="s">
        <v>28</v>
      </c>
      <c r="I284" s="30" t="s">
        <v>53</v>
      </c>
      <c r="J284" s="100" t="s">
        <v>318</v>
      </c>
    </row>
    <row r="285" spans="2:10" ht="15.75" x14ac:dyDescent="0.25">
      <c r="B285" s="98">
        <v>1414</v>
      </c>
      <c r="C285" s="29">
        <v>45711</v>
      </c>
      <c r="D285" s="30" t="s">
        <v>23</v>
      </c>
      <c r="E285" s="30" t="s">
        <v>10</v>
      </c>
      <c r="F285" s="33">
        <v>53000</v>
      </c>
      <c r="G285" s="31">
        <v>3</v>
      </c>
      <c r="H285" s="30" t="s">
        <v>24</v>
      </c>
      <c r="I285" s="30" t="s">
        <v>21</v>
      </c>
      <c r="J285" s="100" t="s">
        <v>318</v>
      </c>
    </row>
    <row r="286" spans="2:10" ht="15.75" x14ac:dyDescent="0.25">
      <c r="B286" s="98">
        <v>1415</v>
      </c>
      <c r="C286" s="29">
        <v>45712</v>
      </c>
      <c r="D286" s="30" t="s">
        <v>23</v>
      </c>
      <c r="E286" s="30" t="s">
        <v>10</v>
      </c>
      <c r="F286" s="33">
        <v>20000</v>
      </c>
      <c r="G286" s="31">
        <v>1</v>
      </c>
      <c r="H286" s="30" t="s">
        <v>15</v>
      </c>
      <c r="I286" s="30" t="s">
        <v>29</v>
      </c>
      <c r="J286" s="100" t="s">
        <v>318</v>
      </c>
    </row>
    <row r="287" spans="2:10" ht="15.75" x14ac:dyDescent="0.25">
      <c r="B287" s="98">
        <v>1416</v>
      </c>
      <c r="C287" s="29">
        <v>45713</v>
      </c>
      <c r="D287" s="30" t="s">
        <v>315</v>
      </c>
      <c r="E287" s="30" t="s">
        <v>10</v>
      </c>
      <c r="F287" s="33">
        <v>52000</v>
      </c>
      <c r="G287" s="31">
        <v>1</v>
      </c>
      <c r="H287" s="30" t="s">
        <v>11</v>
      </c>
      <c r="I287" s="30" t="s">
        <v>21</v>
      </c>
      <c r="J287" s="100" t="s">
        <v>318</v>
      </c>
    </row>
    <row r="288" spans="2:10" ht="15.75" x14ac:dyDescent="0.25">
      <c r="B288" s="98">
        <v>1417</v>
      </c>
      <c r="C288" s="29">
        <v>45714</v>
      </c>
      <c r="D288" s="30" t="s">
        <v>45</v>
      </c>
      <c r="E288" s="30" t="s">
        <v>19</v>
      </c>
      <c r="F288" s="33">
        <v>21000</v>
      </c>
      <c r="G288" s="31">
        <v>1</v>
      </c>
      <c r="H288" s="30" t="s">
        <v>28</v>
      </c>
      <c r="I288" s="30" t="s">
        <v>21</v>
      </c>
      <c r="J288" s="100" t="s">
        <v>318</v>
      </c>
    </row>
    <row r="289" spans="2:10" ht="15.75" x14ac:dyDescent="0.25">
      <c r="B289" s="98">
        <v>1418</v>
      </c>
      <c r="C289" s="29">
        <v>45715</v>
      </c>
      <c r="D289" s="30" t="s">
        <v>23</v>
      </c>
      <c r="E289" s="30" t="s">
        <v>27</v>
      </c>
      <c r="F289" s="33">
        <v>21000</v>
      </c>
      <c r="G289" s="31">
        <v>1</v>
      </c>
      <c r="H289" s="30" t="s">
        <v>11</v>
      </c>
      <c r="I289" s="30" t="s">
        <v>21</v>
      </c>
      <c r="J289" s="100" t="s">
        <v>318</v>
      </c>
    </row>
    <row r="290" spans="2:10" ht="15.75" x14ac:dyDescent="0.25">
      <c r="B290" s="98">
        <v>1421</v>
      </c>
      <c r="C290" s="29">
        <v>45718</v>
      </c>
      <c r="D290" s="30" t="s">
        <v>314</v>
      </c>
      <c r="E290" s="30" t="s">
        <v>27</v>
      </c>
      <c r="F290" s="33">
        <v>52000</v>
      </c>
      <c r="G290" s="31">
        <v>3</v>
      </c>
      <c r="H290" s="30" t="s">
        <v>20</v>
      </c>
      <c r="I290" s="30" t="s">
        <v>21</v>
      </c>
      <c r="J290" s="100" t="s">
        <v>318</v>
      </c>
    </row>
    <row r="291" spans="2:10" ht="15.75" x14ac:dyDescent="0.25">
      <c r="B291" s="98">
        <v>1422</v>
      </c>
      <c r="C291" s="29">
        <v>45719</v>
      </c>
      <c r="D291" s="30" t="s">
        <v>315</v>
      </c>
      <c r="E291" s="30" t="s">
        <v>27</v>
      </c>
      <c r="F291" s="33">
        <v>55000</v>
      </c>
      <c r="G291" s="31">
        <v>2</v>
      </c>
      <c r="H291" s="30" t="s">
        <v>11</v>
      </c>
      <c r="I291" s="30" t="s">
        <v>31</v>
      </c>
      <c r="J291" s="100" t="s">
        <v>318</v>
      </c>
    </row>
    <row r="292" spans="2:10" ht="15.75" x14ac:dyDescent="0.25">
      <c r="B292" s="98">
        <v>1423</v>
      </c>
      <c r="C292" s="29">
        <v>45720</v>
      </c>
      <c r="D292" s="30" t="s">
        <v>33</v>
      </c>
      <c r="E292" s="30" t="s">
        <v>19</v>
      </c>
      <c r="F292" s="33">
        <v>52000</v>
      </c>
      <c r="G292" s="31">
        <v>1</v>
      </c>
      <c r="H292" s="30" t="s">
        <v>28</v>
      </c>
      <c r="I292" s="30" t="s">
        <v>29</v>
      </c>
      <c r="J292" s="100" t="s">
        <v>318</v>
      </c>
    </row>
    <row r="293" spans="2:10" ht="15.75" x14ac:dyDescent="0.25">
      <c r="B293" s="98">
        <v>1424</v>
      </c>
      <c r="C293" s="29">
        <v>45721</v>
      </c>
      <c r="D293" s="30" t="s">
        <v>33</v>
      </c>
      <c r="E293" s="30" t="s">
        <v>27</v>
      </c>
      <c r="F293" s="33">
        <v>20000</v>
      </c>
      <c r="G293" s="31">
        <v>1</v>
      </c>
      <c r="H293" s="30" t="s">
        <v>15</v>
      </c>
      <c r="I293" s="30" t="s">
        <v>21</v>
      </c>
      <c r="J293" s="100" t="s">
        <v>318</v>
      </c>
    </row>
    <row r="294" spans="2:10" ht="15.75" x14ac:dyDescent="0.25">
      <c r="B294" s="98">
        <v>1425</v>
      </c>
      <c r="C294" s="29">
        <v>45722</v>
      </c>
      <c r="D294" s="30" t="s">
        <v>33</v>
      </c>
      <c r="E294" s="30" t="s">
        <v>19</v>
      </c>
      <c r="F294" s="33">
        <v>21000</v>
      </c>
      <c r="G294" s="31">
        <v>2</v>
      </c>
      <c r="H294" s="30" t="s">
        <v>20</v>
      </c>
      <c r="I294" s="30" t="s">
        <v>21</v>
      </c>
      <c r="J294" s="100" t="s">
        <v>318</v>
      </c>
    </row>
    <row r="295" spans="2:10" ht="15.75" x14ac:dyDescent="0.25">
      <c r="B295" s="98">
        <v>1427</v>
      </c>
      <c r="C295" s="29">
        <v>45724</v>
      </c>
      <c r="D295" s="30" t="s">
        <v>314</v>
      </c>
      <c r="E295" s="30" t="s">
        <v>27</v>
      </c>
      <c r="F295" s="33">
        <v>48000</v>
      </c>
      <c r="G295" s="31">
        <v>2</v>
      </c>
      <c r="H295" s="30" t="s">
        <v>11</v>
      </c>
      <c r="I295" s="30" t="s">
        <v>53</v>
      </c>
      <c r="J295" s="100" t="s">
        <v>318</v>
      </c>
    </row>
    <row r="296" spans="2:10" ht="15.75" x14ac:dyDescent="0.25">
      <c r="B296" s="98">
        <v>1428</v>
      </c>
      <c r="C296" s="29">
        <v>45725</v>
      </c>
      <c r="D296" s="30" t="s">
        <v>314</v>
      </c>
      <c r="E296" s="30" t="s">
        <v>10</v>
      </c>
      <c r="F296" s="33">
        <v>21000</v>
      </c>
      <c r="G296" s="31">
        <v>2</v>
      </c>
      <c r="H296" s="30" t="s">
        <v>20</v>
      </c>
      <c r="I296" s="30" t="s">
        <v>53</v>
      </c>
      <c r="J296" s="100" t="s">
        <v>318</v>
      </c>
    </row>
    <row r="297" spans="2:10" ht="15.75" x14ac:dyDescent="0.25">
      <c r="B297" s="98">
        <v>1432</v>
      </c>
      <c r="C297" s="29">
        <v>45729</v>
      </c>
      <c r="D297" s="30" t="s">
        <v>315</v>
      </c>
      <c r="E297" s="30" t="s">
        <v>19</v>
      </c>
      <c r="F297" s="33">
        <v>15000</v>
      </c>
      <c r="G297" s="31">
        <v>3</v>
      </c>
      <c r="H297" s="30" t="s">
        <v>34</v>
      </c>
      <c r="I297" s="30" t="s">
        <v>53</v>
      </c>
      <c r="J297" s="100" t="s">
        <v>318</v>
      </c>
    </row>
    <row r="298" spans="2:10" ht="15.75" x14ac:dyDescent="0.25">
      <c r="B298" s="98">
        <v>1433</v>
      </c>
      <c r="C298" s="29">
        <v>45730</v>
      </c>
      <c r="D298" s="30" t="s">
        <v>314</v>
      </c>
      <c r="E298" s="30" t="s">
        <v>19</v>
      </c>
      <c r="F298" s="33">
        <v>21000</v>
      </c>
      <c r="G298" s="31">
        <v>2</v>
      </c>
      <c r="H298" s="30" t="s">
        <v>11</v>
      </c>
      <c r="I298" s="30" t="s">
        <v>21</v>
      </c>
      <c r="J298" s="100" t="s">
        <v>318</v>
      </c>
    </row>
    <row r="299" spans="2:10" ht="15.75" x14ac:dyDescent="0.25">
      <c r="B299" s="98">
        <v>1434</v>
      </c>
      <c r="C299" s="29">
        <v>45731</v>
      </c>
      <c r="D299" s="30" t="s">
        <v>315</v>
      </c>
      <c r="E299" s="30" t="s">
        <v>10</v>
      </c>
      <c r="F299" s="33">
        <v>52000</v>
      </c>
      <c r="G299" s="31">
        <v>2</v>
      </c>
      <c r="H299" s="30" t="s">
        <v>34</v>
      </c>
      <c r="I299" s="30" t="s">
        <v>29</v>
      </c>
      <c r="J299" s="100" t="s">
        <v>318</v>
      </c>
    </row>
    <row r="300" spans="2:10" ht="15.75" x14ac:dyDescent="0.25">
      <c r="B300" s="98">
        <v>1435</v>
      </c>
      <c r="C300" s="29">
        <v>45732</v>
      </c>
      <c r="D300" s="30" t="s">
        <v>315</v>
      </c>
      <c r="E300" s="30" t="s">
        <v>27</v>
      </c>
      <c r="F300" s="33">
        <v>20000</v>
      </c>
      <c r="G300" s="31">
        <v>3</v>
      </c>
      <c r="H300" s="30" t="s">
        <v>38</v>
      </c>
      <c r="I300" s="30" t="s">
        <v>53</v>
      </c>
      <c r="J300" s="100" t="s">
        <v>318</v>
      </c>
    </row>
    <row r="301" spans="2:10" ht="15.75" x14ac:dyDescent="0.25">
      <c r="B301" s="98">
        <v>1436</v>
      </c>
      <c r="C301" s="29">
        <v>45733</v>
      </c>
      <c r="D301" s="30" t="s">
        <v>45</v>
      </c>
      <c r="E301" s="30" t="s">
        <v>19</v>
      </c>
      <c r="F301" s="33">
        <v>15000</v>
      </c>
      <c r="G301" s="31">
        <v>3</v>
      </c>
      <c r="H301" s="30" t="s">
        <v>11</v>
      </c>
      <c r="I301" s="30" t="s">
        <v>21</v>
      </c>
      <c r="J301" s="100" t="s">
        <v>318</v>
      </c>
    </row>
    <row r="302" spans="2:10" ht="15.75" x14ac:dyDescent="0.25">
      <c r="B302" s="98">
        <v>1437</v>
      </c>
      <c r="C302" s="29">
        <v>45734</v>
      </c>
      <c r="D302" s="30" t="s">
        <v>23</v>
      </c>
      <c r="E302" s="30" t="s">
        <v>27</v>
      </c>
      <c r="F302" s="33">
        <v>21000</v>
      </c>
      <c r="G302" s="31">
        <v>3</v>
      </c>
      <c r="H302" s="30" t="s">
        <v>34</v>
      </c>
      <c r="I302" s="30" t="s">
        <v>53</v>
      </c>
      <c r="J302" s="100" t="s">
        <v>318</v>
      </c>
    </row>
    <row r="303" spans="2:10" ht="15.75" x14ac:dyDescent="0.25">
      <c r="B303" s="98">
        <v>1441</v>
      </c>
      <c r="C303" s="29">
        <v>45738</v>
      </c>
      <c r="D303" s="30" t="s">
        <v>33</v>
      </c>
      <c r="E303" s="30" t="s">
        <v>19</v>
      </c>
      <c r="F303" s="33">
        <v>53000</v>
      </c>
      <c r="G303" s="31">
        <v>2</v>
      </c>
      <c r="H303" s="30" t="s">
        <v>15</v>
      </c>
      <c r="I303" s="30" t="s">
        <v>21</v>
      </c>
      <c r="J303" s="100" t="s">
        <v>318</v>
      </c>
    </row>
    <row r="304" spans="2:10" ht="15.75" x14ac:dyDescent="0.25">
      <c r="B304" s="98">
        <v>1442</v>
      </c>
      <c r="C304" s="29">
        <v>45739</v>
      </c>
      <c r="D304" s="30" t="s">
        <v>315</v>
      </c>
      <c r="E304" s="30" t="s">
        <v>10</v>
      </c>
      <c r="F304" s="33">
        <v>55000</v>
      </c>
      <c r="G304" s="31">
        <v>1</v>
      </c>
      <c r="H304" s="30" t="s">
        <v>46</v>
      </c>
      <c r="I304" s="30" t="s">
        <v>21</v>
      </c>
      <c r="J304" s="100" t="s">
        <v>318</v>
      </c>
    </row>
    <row r="305" spans="2:10" ht="15.75" x14ac:dyDescent="0.25">
      <c r="B305" s="98">
        <v>1443</v>
      </c>
      <c r="C305" s="29">
        <v>45740</v>
      </c>
      <c r="D305" s="30" t="s">
        <v>314</v>
      </c>
      <c r="E305" s="30" t="s">
        <v>10</v>
      </c>
      <c r="F305" s="33">
        <v>52000</v>
      </c>
      <c r="G305" s="31">
        <v>1</v>
      </c>
      <c r="H305" s="30" t="s">
        <v>38</v>
      </c>
      <c r="I305" s="30" t="s">
        <v>31</v>
      </c>
      <c r="J305" s="100" t="s">
        <v>318</v>
      </c>
    </row>
    <row r="306" spans="2:10" ht="15.75" x14ac:dyDescent="0.25">
      <c r="B306" s="98">
        <v>1444</v>
      </c>
      <c r="C306" s="29">
        <v>45741</v>
      </c>
      <c r="D306" s="30" t="s">
        <v>314</v>
      </c>
      <c r="E306" s="30" t="s">
        <v>19</v>
      </c>
      <c r="F306" s="33">
        <v>53000</v>
      </c>
      <c r="G306" s="31">
        <v>2</v>
      </c>
      <c r="H306" s="30" t="s">
        <v>20</v>
      </c>
      <c r="I306" s="30" t="s">
        <v>53</v>
      </c>
      <c r="J306" s="100" t="s">
        <v>318</v>
      </c>
    </row>
    <row r="307" spans="2:10" ht="15.75" x14ac:dyDescent="0.25">
      <c r="B307" s="98">
        <v>1446</v>
      </c>
      <c r="C307" s="29">
        <v>45743</v>
      </c>
      <c r="D307" s="30" t="s">
        <v>23</v>
      </c>
      <c r="E307" s="30" t="s">
        <v>19</v>
      </c>
      <c r="F307" s="33">
        <v>48000</v>
      </c>
      <c r="G307" s="31">
        <v>3</v>
      </c>
      <c r="H307" s="30" t="s">
        <v>15</v>
      </c>
      <c r="I307" s="30" t="s">
        <v>53</v>
      </c>
      <c r="J307" s="100" t="s">
        <v>318</v>
      </c>
    </row>
    <row r="308" spans="2:10" ht="15.75" x14ac:dyDescent="0.25">
      <c r="B308" s="98">
        <v>1447</v>
      </c>
      <c r="C308" s="29">
        <v>45744</v>
      </c>
      <c r="D308" s="30" t="s">
        <v>314</v>
      </c>
      <c r="E308" s="30" t="s">
        <v>27</v>
      </c>
      <c r="F308" s="33">
        <v>55000</v>
      </c>
      <c r="G308" s="31">
        <v>1</v>
      </c>
      <c r="H308" s="30" t="s">
        <v>28</v>
      </c>
      <c r="I308" s="30" t="s">
        <v>53</v>
      </c>
      <c r="J308" s="100" t="s">
        <v>318</v>
      </c>
    </row>
    <row r="309" spans="2:10" ht="15.75" x14ac:dyDescent="0.25">
      <c r="B309" s="98">
        <v>1448</v>
      </c>
      <c r="C309" s="29">
        <v>45745</v>
      </c>
      <c r="D309" s="30" t="s">
        <v>45</v>
      </c>
      <c r="E309" s="30" t="s">
        <v>19</v>
      </c>
      <c r="F309" s="33">
        <v>55000</v>
      </c>
      <c r="G309" s="31">
        <v>1</v>
      </c>
      <c r="H309" s="30" t="s">
        <v>46</v>
      </c>
      <c r="I309" s="30" t="s">
        <v>53</v>
      </c>
      <c r="J309" s="100" t="s">
        <v>318</v>
      </c>
    </row>
    <row r="310" spans="2:10" ht="15.75" x14ac:dyDescent="0.25">
      <c r="B310" s="98">
        <v>1449</v>
      </c>
      <c r="C310" s="29">
        <v>45746</v>
      </c>
      <c r="D310" s="30" t="s">
        <v>314</v>
      </c>
      <c r="E310" s="30" t="s">
        <v>19</v>
      </c>
      <c r="F310" s="33">
        <v>15000</v>
      </c>
      <c r="G310" s="31">
        <v>3</v>
      </c>
      <c r="H310" s="30" t="s">
        <v>28</v>
      </c>
      <c r="I310" s="30" t="s">
        <v>29</v>
      </c>
      <c r="J310" s="100" t="s">
        <v>318</v>
      </c>
    </row>
    <row r="311" spans="2:10" ht="15.75" x14ac:dyDescent="0.25">
      <c r="B311" s="98">
        <v>1450</v>
      </c>
      <c r="C311" s="29">
        <v>45747</v>
      </c>
      <c r="D311" s="30" t="s">
        <v>315</v>
      </c>
      <c r="E311" s="30" t="s">
        <v>19</v>
      </c>
      <c r="F311" s="33">
        <v>21000</v>
      </c>
      <c r="G311" s="31">
        <v>3</v>
      </c>
      <c r="H311" s="30" t="s">
        <v>24</v>
      </c>
      <c r="I311" s="30" t="s">
        <v>53</v>
      </c>
      <c r="J311" s="100" t="s">
        <v>318</v>
      </c>
    </row>
    <row r="312" spans="2:10" ht="15.75" x14ac:dyDescent="0.25">
      <c r="B312" s="98">
        <v>1451</v>
      </c>
      <c r="C312" s="29">
        <v>45748</v>
      </c>
      <c r="D312" s="30" t="s">
        <v>33</v>
      </c>
      <c r="E312" s="30" t="s">
        <v>10</v>
      </c>
      <c r="F312" s="33">
        <v>20000</v>
      </c>
      <c r="G312" s="31">
        <v>2</v>
      </c>
      <c r="H312" s="30" t="s">
        <v>20</v>
      </c>
      <c r="I312" s="30" t="s">
        <v>29</v>
      </c>
      <c r="J312" s="100" t="s">
        <v>318</v>
      </c>
    </row>
    <row r="313" spans="2:10" ht="15.75" x14ac:dyDescent="0.25">
      <c r="B313" s="98">
        <v>1453</v>
      </c>
      <c r="C313" s="29">
        <v>45750</v>
      </c>
      <c r="D313" s="30" t="s">
        <v>315</v>
      </c>
      <c r="E313" s="30" t="s">
        <v>19</v>
      </c>
      <c r="F313" s="33">
        <v>20000</v>
      </c>
      <c r="G313" s="31">
        <v>2</v>
      </c>
      <c r="H313" s="30" t="s">
        <v>20</v>
      </c>
      <c r="I313" s="30" t="s">
        <v>21</v>
      </c>
      <c r="J313" s="100" t="s">
        <v>318</v>
      </c>
    </row>
    <row r="314" spans="2:10" ht="15.75" x14ac:dyDescent="0.25">
      <c r="B314" s="98">
        <v>1454</v>
      </c>
      <c r="C314" s="29">
        <v>45751</v>
      </c>
      <c r="D314" s="30" t="s">
        <v>315</v>
      </c>
      <c r="E314" s="30" t="s">
        <v>27</v>
      </c>
      <c r="F314" s="33">
        <v>55000</v>
      </c>
      <c r="G314" s="31">
        <v>1</v>
      </c>
      <c r="H314" s="30" t="s">
        <v>20</v>
      </c>
      <c r="I314" s="30" t="s">
        <v>53</v>
      </c>
      <c r="J314" s="100" t="s">
        <v>318</v>
      </c>
    </row>
    <row r="315" spans="2:10" ht="15.75" x14ac:dyDescent="0.25">
      <c r="B315" s="98">
        <v>1455</v>
      </c>
      <c r="C315" s="29">
        <v>45752</v>
      </c>
      <c r="D315" s="30" t="s">
        <v>23</v>
      </c>
      <c r="E315" s="30" t="s">
        <v>27</v>
      </c>
      <c r="F315" s="33">
        <v>20000</v>
      </c>
      <c r="G315" s="31">
        <v>3</v>
      </c>
      <c r="H315" s="30" t="s">
        <v>28</v>
      </c>
      <c r="I315" s="30" t="s">
        <v>29</v>
      </c>
      <c r="J315" s="100" t="s">
        <v>318</v>
      </c>
    </row>
    <row r="316" spans="2:10" ht="15.75" x14ac:dyDescent="0.25">
      <c r="B316" s="98">
        <v>1456</v>
      </c>
      <c r="C316" s="29">
        <v>45753</v>
      </c>
      <c r="D316" s="30" t="s">
        <v>314</v>
      </c>
      <c r="E316" s="30" t="s">
        <v>19</v>
      </c>
      <c r="F316" s="33">
        <v>20000</v>
      </c>
      <c r="G316" s="31">
        <v>2</v>
      </c>
      <c r="H316" s="30" t="s">
        <v>20</v>
      </c>
      <c r="I316" s="30" t="s">
        <v>53</v>
      </c>
      <c r="J316" s="100" t="s">
        <v>318</v>
      </c>
    </row>
    <row r="317" spans="2:10" ht="15.75" x14ac:dyDescent="0.25">
      <c r="B317" s="98">
        <v>1457</v>
      </c>
      <c r="C317" s="29">
        <v>45754</v>
      </c>
      <c r="D317" s="30" t="s">
        <v>315</v>
      </c>
      <c r="E317" s="30" t="s">
        <v>27</v>
      </c>
      <c r="F317" s="33">
        <v>48000</v>
      </c>
      <c r="G317" s="31">
        <v>3</v>
      </c>
      <c r="H317" s="30" t="s">
        <v>38</v>
      </c>
      <c r="I317" s="30" t="s">
        <v>53</v>
      </c>
      <c r="J317" s="100" t="s">
        <v>318</v>
      </c>
    </row>
    <row r="318" spans="2:10" ht="15.75" x14ac:dyDescent="0.25">
      <c r="B318" s="98">
        <v>1458</v>
      </c>
      <c r="C318" s="29">
        <v>45755</v>
      </c>
      <c r="D318" s="30" t="s">
        <v>45</v>
      </c>
      <c r="E318" s="30" t="s">
        <v>27</v>
      </c>
      <c r="F318" s="33">
        <v>15000</v>
      </c>
      <c r="G318" s="31">
        <v>3</v>
      </c>
      <c r="H318" s="30" t="s">
        <v>38</v>
      </c>
      <c r="I318" s="30" t="s">
        <v>31</v>
      </c>
      <c r="J318" s="100" t="s">
        <v>318</v>
      </c>
    </row>
    <row r="319" spans="2:10" ht="15.75" x14ac:dyDescent="0.25">
      <c r="B319" s="98">
        <v>1460</v>
      </c>
      <c r="C319" s="29">
        <v>45757</v>
      </c>
      <c r="D319" s="30" t="s">
        <v>33</v>
      </c>
      <c r="E319" s="30" t="s">
        <v>19</v>
      </c>
      <c r="F319" s="33">
        <v>55000</v>
      </c>
      <c r="G319" s="31">
        <v>2</v>
      </c>
      <c r="H319" s="30" t="s">
        <v>20</v>
      </c>
      <c r="I319" s="30" t="s">
        <v>31</v>
      </c>
      <c r="J319" s="100" t="s">
        <v>318</v>
      </c>
    </row>
    <row r="320" spans="2:10" ht="15.75" x14ac:dyDescent="0.25">
      <c r="B320" s="98">
        <v>1462</v>
      </c>
      <c r="C320" s="29">
        <v>45759</v>
      </c>
      <c r="D320" s="30" t="s">
        <v>314</v>
      </c>
      <c r="E320" s="30" t="s">
        <v>27</v>
      </c>
      <c r="F320" s="33">
        <v>15000</v>
      </c>
      <c r="G320" s="31">
        <v>3</v>
      </c>
      <c r="H320" s="30" t="s">
        <v>24</v>
      </c>
      <c r="I320" s="30" t="s">
        <v>21</v>
      </c>
      <c r="J320" s="100" t="s">
        <v>318</v>
      </c>
    </row>
    <row r="321" spans="2:10" ht="15.75" x14ac:dyDescent="0.25">
      <c r="B321" s="98">
        <v>1463</v>
      </c>
      <c r="C321" s="29">
        <v>45760</v>
      </c>
      <c r="D321" s="30" t="s">
        <v>33</v>
      </c>
      <c r="E321" s="30" t="s">
        <v>10</v>
      </c>
      <c r="F321" s="33">
        <v>53000</v>
      </c>
      <c r="G321" s="31">
        <v>2</v>
      </c>
      <c r="H321" s="30" t="s">
        <v>24</v>
      </c>
      <c r="I321" s="30" t="s">
        <v>21</v>
      </c>
      <c r="J321" s="100" t="s">
        <v>318</v>
      </c>
    </row>
    <row r="322" spans="2:10" ht="15.75" x14ac:dyDescent="0.25">
      <c r="B322" s="98">
        <v>1466</v>
      </c>
      <c r="C322" s="29">
        <v>45763</v>
      </c>
      <c r="D322" s="30" t="s">
        <v>23</v>
      </c>
      <c r="E322" s="30" t="s">
        <v>19</v>
      </c>
      <c r="F322" s="33">
        <v>53000</v>
      </c>
      <c r="G322" s="31">
        <v>2</v>
      </c>
      <c r="H322" s="30" t="s">
        <v>34</v>
      </c>
      <c r="I322" s="30" t="s">
        <v>21</v>
      </c>
      <c r="J322" s="100" t="s">
        <v>318</v>
      </c>
    </row>
    <row r="323" spans="2:10" ht="15.75" x14ac:dyDescent="0.25">
      <c r="B323" s="98">
        <v>1467</v>
      </c>
      <c r="C323" s="29">
        <v>45764</v>
      </c>
      <c r="D323" s="30" t="s">
        <v>45</v>
      </c>
      <c r="E323" s="30" t="s">
        <v>19</v>
      </c>
      <c r="F323" s="33">
        <v>52000</v>
      </c>
      <c r="G323" s="31">
        <v>1</v>
      </c>
      <c r="H323" s="30" t="s">
        <v>38</v>
      </c>
      <c r="I323" s="30" t="s">
        <v>21</v>
      </c>
      <c r="J323" s="100" t="s">
        <v>318</v>
      </c>
    </row>
    <row r="324" spans="2:10" ht="15.75" x14ac:dyDescent="0.25">
      <c r="B324" s="98">
        <v>1468</v>
      </c>
      <c r="C324" s="29">
        <v>45765</v>
      </c>
      <c r="D324" s="30" t="s">
        <v>33</v>
      </c>
      <c r="E324" s="30" t="s">
        <v>19</v>
      </c>
      <c r="F324" s="33">
        <v>52000</v>
      </c>
      <c r="G324" s="31">
        <v>3</v>
      </c>
      <c r="H324" s="30" t="s">
        <v>20</v>
      </c>
      <c r="I324" s="30" t="s">
        <v>53</v>
      </c>
      <c r="J324" s="100" t="s">
        <v>318</v>
      </c>
    </row>
    <row r="325" spans="2:10" ht="15.75" x14ac:dyDescent="0.25">
      <c r="B325" s="98">
        <v>1470</v>
      </c>
      <c r="C325" s="29">
        <v>45767</v>
      </c>
      <c r="D325" s="30" t="s">
        <v>33</v>
      </c>
      <c r="E325" s="30" t="s">
        <v>27</v>
      </c>
      <c r="F325" s="33">
        <v>48000</v>
      </c>
      <c r="G325" s="31">
        <v>2</v>
      </c>
      <c r="H325" s="30" t="s">
        <v>28</v>
      </c>
      <c r="I325" s="30" t="s">
        <v>29</v>
      </c>
      <c r="J325" s="100" t="s">
        <v>318</v>
      </c>
    </row>
    <row r="326" spans="2:10" ht="15.75" x14ac:dyDescent="0.25">
      <c r="B326" s="98">
        <v>1471</v>
      </c>
      <c r="C326" s="29">
        <v>45768</v>
      </c>
      <c r="D326" s="30" t="s">
        <v>33</v>
      </c>
      <c r="E326" s="30" t="s">
        <v>27</v>
      </c>
      <c r="F326" s="33">
        <v>52000</v>
      </c>
      <c r="G326" s="31">
        <v>2</v>
      </c>
      <c r="H326" s="30" t="s">
        <v>24</v>
      </c>
      <c r="I326" s="30" t="s">
        <v>31</v>
      </c>
      <c r="J326" s="100" t="s">
        <v>318</v>
      </c>
    </row>
    <row r="327" spans="2:10" ht="15.75" x14ac:dyDescent="0.25">
      <c r="B327" s="98">
        <v>1472</v>
      </c>
      <c r="C327" s="29">
        <v>45769</v>
      </c>
      <c r="D327" s="30" t="s">
        <v>45</v>
      </c>
      <c r="E327" s="30" t="s">
        <v>19</v>
      </c>
      <c r="F327" s="33">
        <v>21000</v>
      </c>
      <c r="G327" s="31">
        <v>3</v>
      </c>
      <c r="H327" s="30" t="s">
        <v>46</v>
      </c>
      <c r="I327" s="30" t="s">
        <v>53</v>
      </c>
      <c r="J327" s="100" t="s">
        <v>318</v>
      </c>
    </row>
    <row r="328" spans="2:10" ht="15.75" x14ac:dyDescent="0.25">
      <c r="B328" s="98">
        <v>1473</v>
      </c>
      <c r="C328" s="29">
        <v>45770</v>
      </c>
      <c r="D328" s="30" t="s">
        <v>23</v>
      </c>
      <c r="E328" s="30" t="s">
        <v>27</v>
      </c>
      <c r="F328" s="33">
        <v>21000</v>
      </c>
      <c r="G328" s="31">
        <v>1</v>
      </c>
      <c r="H328" s="30" t="s">
        <v>34</v>
      </c>
      <c r="I328" s="30" t="s">
        <v>53</v>
      </c>
      <c r="J328" s="100" t="s">
        <v>318</v>
      </c>
    </row>
    <row r="329" spans="2:10" ht="15.75" x14ac:dyDescent="0.25">
      <c r="B329" s="98">
        <v>1474</v>
      </c>
      <c r="C329" s="29">
        <v>45771</v>
      </c>
      <c r="D329" s="30" t="s">
        <v>23</v>
      </c>
      <c r="E329" s="30" t="s">
        <v>27</v>
      </c>
      <c r="F329" s="33">
        <v>53000</v>
      </c>
      <c r="G329" s="31">
        <v>2</v>
      </c>
      <c r="H329" s="30" t="s">
        <v>15</v>
      </c>
      <c r="I329" s="30" t="s">
        <v>53</v>
      </c>
      <c r="J329" s="100" t="s">
        <v>318</v>
      </c>
    </row>
    <row r="330" spans="2:10" ht="15.75" x14ac:dyDescent="0.25">
      <c r="B330" s="98">
        <v>1475</v>
      </c>
      <c r="C330" s="29">
        <v>45772</v>
      </c>
      <c r="D330" s="30" t="s">
        <v>315</v>
      </c>
      <c r="E330" s="30" t="s">
        <v>27</v>
      </c>
      <c r="F330" s="33">
        <v>15000</v>
      </c>
      <c r="G330" s="31">
        <v>2</v>
      </c>
      <c r="H330" s="30" t="s">
        <v>20</v>
      </c>
      <c r="I330" s="30" t="s">
        <v>21</v>
      </c>
      <c r="J330" s="100" t="s">
        <v>318</v>
      </c>
    </row>
    <row r="331" spans="2:10" ht="15.75" x14ac:dyDescent="0.25">
      <c r="B331" s="98">
        <v>1476</v>
      </c>
      <c r="C331" s="29">
        <v>45773</v>
      </c>
      <c r="D331" s="30" t="s">
        <v>45</v>
      </c>
      <c r="E331" s="30" t="s">
        <v>19</v>
      </c>
      <c r="F331" s="33">
        <v>15000</v>
      </c>
      <c r="G331" s="31">
        <v>2</v>
      </c>
      <c r="H331" s="30" t="s">
        <v>20</v>
      </c>
      <c r="I331" s="30" t="s">
        <v>53</v>
      </c>
      <c r="J331" s="100" t="s">
        <v>318</v>
      </c>
    </row>
    <row r="332" spans="2:10" ht="15.75" x14ac:dyDescent="0.25">
      <c r="B332" s="98">
        <v>1477</v>
      </c>
      <c r="C332" s="29">
        <v>45774</v>
      </c>
      <c r="D332" s="30" t="s">
        <v>45</v>
      </c>
      <c r="E332" s="30" t="s">
        <v>10</v>
      </c>
      <c r="F332" s="33">
        <v>52000</v>
      </c>
      <c r="G332" s="31">
        <v>1</v>
      </c>
      <c r="H332" s="30" t="s">
        <v>34</v>
      </c>
      <c r="I332" s="30" t="s">
        <v>21</v>
      </c>
      <c r="J332" s="100" t="s">
        <v>318</v>
      </c>
    </row>
    <row r="333" spans="2:10" ht="15.75" x14ac:dyDescent="0.25">
      <c r="B333" s="98">
        <v>1478</v>
      </c>
      <c r="C333" s="29">
        <v>45775</v>
      </c>
      <c r="D333" s="30" t="s">
        <v>314</v>
      </c>
      <c r="E333" s="30" t="s">
        <v>10</v>
      </c>
      <c r="F333" s="33">
        <v>21000</v>
      </c>
      <c r="G333" s="31">
        <v>1</v>
      </c>
      <c r="H333" s="30" t="s">
        <v>38</v>
      </c>
      <c r="I333" s="30" t="s">
        <v>21</v>
      </c>
      <c r="J333" s="100" t="s">
        <v>318</v>
      </c>
    </row>
    <row r="334" spans="2:10" ht="15.75" x14ac:dyDescent="0.25">
      <c r="B334" s="98">
        <v>1479</v>
      </c>
      <c r="C334" s="29">
        <v>45776</v>
      </c>
      <c r="D334" s="30" t="s">
        <v>23</v>
      </c>
      <c r="E334" s="30" t="s">
        <v>27</v>
      </c>
      <c r="F334" s="33">
        <v>48000</v>
      </c>
      <c r="G334" s="31">
        <v>2</v>
      </c>
      <c r="H334" s="30" t="s">
        <v>38</v>
      </c>
      <c r="I334" s="30" t="s">
        <v>21</v>
      </c>
      <c r="J334" s="100" t="s">
        <v>318</v>
      </c>
    </row>
    <row r="335" spans="2:10" ht="15.75" x14ac:dyDescent="0.25">
      <c r="B335" s="98">
        <v>1481</v>
      </c>
      <c r="C335" s="29">
        <v>45658</v>
      </c>
      <c r="D335" s="30" t="s">
        <v>33</v>
      </c>
      <c r="E335" s="30" t="s">
        <v>27</v>
      </c>
      <c r="F335" s="33">
        <v>21000</v>
      </c>
      <c r="G335" s="31">
        <v>3</v>
      </c>
      <c r="H335" s="30" t="s">
        <v>38</v>
      </c>
      <c r="I335" s="30" t="s">
        <v>29</v>
      </c>
      <c r="J335" s="100" t="s">
        <v>318</v>
      </c>
    </row>
    <row r="336" spans="2:10" ht="15.75" x14ac:dyDescent="0.25">
      <c r="B336" s="98">
        <v>1482</v>
      </c>
      <c r="C336" s="29">
        <v>45659</v>
      </c>
      <c r="D336" s="30" t="s">
        <v>33</v>
      </c>
      <c r="E336" s="30" t="s">
        <v>10</v>
      </c>
      <c r="F336" s="33">
        <v>52000</v>
      </c>
      <c r="G336" s="31">
        <v>2</v>
      </c>
      <c r="H336" s="30" t="s">
        <v>46</v>
      </c>
      <c r="I336" s="30" t="s">
        <v>21</v>
      </c>
      <c r="J336" s="100" t="s">
        <v>318</v>
      </c>
    </row>
    <row r="337" spans="2:10" ht="15.75" x14ac:dyDescent="0.25">
      <c r="B337" s="98">
        <v>1483</v>
      </c>
      <c r="C337" s="29">
        <v>45660</v>
      </c>
      <c r="D337" s="30" t="s">
        <v>315</v>
      </c>
      <c r="E337" s="30" t="s">
        <v>19</v>
      </c>
      <c r="F337" s="33">
        <v>21000</v>
      </c>
      <c r="G337" s="31">
        <v>1</v>
      </c>
      <c r="H337" s="30" t="s">
        <v>46</v>
      </c>
      <c r="I337" s="30" t="s">
        <v>21</v>
      </c>
      <c r="J337" s="100" t="s">
        <v>318</v>
      </c>
    </row>
    <row r="338" spans="2:10" ht="15.75" x14ac:dyDescent="0.25">
      <c r="B338" s="98">
        <v>1484</v>
      </c>
      <c r="C338" s="29">
        <v>45661</v>
      </c>
      <c r="D338" s="30" t="s">
        <v>315</v>
      </c>
      <c r="E338" s="30" t="s">
        <v>19</v>
      </c>
      <c r="F338" s="33">
        <v>48000</v>
      </c>
      <c r="G338" s="31">
        <v>2</v>
      </c>
      <c r="H338" s="30" t="s">
        <v>15</v>
      </c>
      <c r="I338" s="30" t="s">
        <v>21</v>
      </c>
      <c r="J338" s="100" t="s">
        <v>318</v>
      </c>
    </row>
    <row r="339" spans="2:10" ht="15.75" x14ac:dyDescent="0.25">
      <c r="B339" s="98">
        <v>1485</v>
      </c>
      <c r="C339" s="29">
        <v>45662</v>
      </c>
      <c r="D339" s="30" t="s">
        <v>23</v>
      </c>
      <c r="E339" s="30" t="s">
        <v>27</v>
      </c>
      <c r="F339" s="33">
        <v>52000</v>
      </c>
      <c r="G339" s="31">
        <v>3</v>
      </c>
      <c r="H339" s="30" t="s">
        <v>46</v>
      </c>
      <c r="I339" s="30" t="s">
        <v>21</v>
      </c>
      <c r="J339" s="100" t="s">
        <v>318</v>
      </c>
    </row>
    <row r="340" spans="2:10" ht="15.75" x14ac:dyDescent="0.25">
      <c r="B340" s="98">
        <v>1486</v>
      </c>
      <c r="C340" s="29">
        <v>45663</v>
      </c>
      <c r="D340" s="30" t="s">
        <v>315</v>
      </c>
      <c r="E340" s="30" t="s">
        <v>27</v>
      </c>
      <c r="F340" s="33">
        <v>55000</v>
      </c>
      <c r="G340" s="31">
        <v>1</v>
      </c>
      <c r="H340" s="30" t="s">
        <v>34</v>
      </c>
      <c r="I340" s="30" t="s">
        <v>53</v>
      </c>
      <c r="J340" s="100" t="s">
        <v>318</v>
      </c>
    </row>
    <row r="341" spans="2:10" ht="15.75" x14ac:dyDescent="0.25">
      <c r="B341" s="98">
        <v>1487</v>
      </c>
      <c r="C341" s="29">
        <v>45664</v>
      </c>
      <c r="D341" s="30" t="s">
        <v>23</v>
      </c>
      <c r="E341" s="30" t="s">
        <v>19</v>
      </c>
      <c r="F341" s="33">
        <v>52000</v>
      </c>
      <c r="G341" s="31">
        <v>3</v>
      </c>
      <c r="H341" s="30" t="s">
        <v>11</v>
      </c>
      <c r="I341" s="30" t="s">
        <v>53</v>
      </c>
      <c r="J341" s="100" t="s">
        <v>318</v>
      </c>
    </row>
    <row r="342" spans="2:10" ht="15.75" x14ac:dyDescent="0.25">
      <c r="B342" s="98">
        <v>1488</v>
      </c>
      <c r="C342" s="29">
        <v>45665</v>
      </c>
      <c r="D342" s="30" t="s">
        <v>23</v>
      </c>
      <c r="E342" s="30" t="s">
        <v>27</v>
      </c>
      <c r="F342" s="33">
        <v>21000</v>
      </c>
      <c r="G342" s="31">
        <v>3</v>
      </c>
      <c r="H342" s="30" t="s">
        <v>15</v>
      </c>
      <c r="I342" s="30" t="s">
        <v>53</v>
      </c>
      <c r="J342" s="100" t="s">
        <v>318</v>
      </c>
    </row>
    <row r="343" spans="2:10" ht="15.75" x14ac:dyDescent="0.25">
      <c r="B343" s="98">
        <v>1490</v>
      </c>
      <c r="C343" s="29">
        <v>45667</v>
      </c>
      <c r="D343" s="30" t="s">
        <v>33</v>
      </c>
      <c r="E343" s="30" t="s">
        <v>19</v>
      </c>
      <c r="F343" s="33">
        <v>21000</v>
      </c>
      <c r="G343" s="31">
        <v>1</v>
      </c>
      <c r="H343" s="30" t="s">
        <v>20</v>
      </c>
      <c r="I343" s="30" t="s">
        <v>21</v>
      </c>
      <c r="J343" s="100" t="s">
        <v>318</v>
      </c>
    </row>
    <row r="344" spans="2:10" ht="15.75" x14ac:dyDescent="0.25">
      <c r="B344" s="98">
        <v>1491</v>
      </c>
      <c r="C344" s="29">
        <v>45668</v>
      </c>
      <c r="D344" s="30" t="s">
        <v>314</v>
      </c>
      <c r="E344" s="30" t="s">
        <v>27</v>
      </c>
      <c r="F344" s="33">
        <v>15000</v>
      </c>
      <c r="G344" s="31">
        <v>2</v>
      </c>
      <c r="H344" s="30" t="s">
        <v>38</v>
      </c>
      <c r="I344" s="30" t="s">
        <v>53</v>
      </c>
      <c r="J344" s="100" t="s">
        <v>318</v>
      </c>
    </row>
    <row r="345" spans="2:10" ht="15.75" x14ac:dyDescent="0.25">
      <c r="B345" s="98">
        <v>1492</v>
      </c>
      <c r="C345" s="29">
        <v>45669</v>
      </c>
      <c r="D345" s="30" t="s">
        <v>23</v>
      </c>
      <c r="E345" s="30" t="s">
        <v>19</v>
      </c>
      <c r="F345" s="33">
        <v>15000</v>
      </c>
      <c r="G345" s="31">
        <v>1</v>
      </c>
      <c r="H345" s="30" t="s">
        <v>15</v>
      </c>
      <c r="I345" s="30" t="s">
        <v>29</v>
      </c>
      <c r="J345" s="100" t="s">
        <v>318</v>
      </c>
    </row>
    <row r="346" spans="2:10" ht="15.75" x14ac:dyDescent="0.25">
      <c r="B346" s="98">
        <v>1494</v>
      </c>
      <c r="C346" s="29">
        <v>45671</v>
      </c>
      <c r="D346" s="30" t="s">
        <v>23</v>
      </c>
      <c r="E346" s="30" t="s">
        <v>27</v>
      </c>
      <c r="F346" s="33">
        <v>55000</v>
      </c>
      <c r="G346" s="31">
        <v>2</v>
      </c>
      <c r="H346" s="30" t="s">
        <v>28</v>
      </c>
      <c r="I346" s="30" t="s">
        <v>31</v>
      </c>
      <c r="J346" s="100" t="s">
        <v>318</v>
      </c>
    </row>
    <row r="347" spans="2:10" ht="15.75" x14ac:dyDescent="0.25">
      <c r="B347" s="98">
        <v>1497</v>
      </c>
      <c r="C347" s="29">
        <v>45674</v>
      </c>
      <c r="D347" s="30" t="s">
        <v>33</v>
      </c>
      <c r="E347" s="30" t="s">
        <v>10</v>
      </c>
      <c r="F347" s="33">
        <v>48000</v>
      </c>
      <c r="G347" s="31">
        <v>1</v>
      </c>
      <c r="H347" s="30" t="s">
        <v>11</v>
      </c>
      <c r="I347" s="30" t="s">
        <v>21</v>
      </c>
      <c r="J347" s="100" t="s">
        <v>318</v>
      </c>
    </row>
    <row r="348" spans="2:10" ht="15.75" x14ac:dyDescent="0.25">
      <c r="B348" s="104">
        <v>1498</v>
      </c>
      <c r="C348" s="105">
        <v>45675</v>
      </c>
      <c r="D348" s="106" t="s">
        <v>33</v>
      </c>
      <c r="E348" s="106" t="s">
        <v>19</v>
      </c>
      <c r="F348" s="107">
        <v>21000</v>
      </c>
      <c r="G348" s="108">
        <v>3</v>
      </c>
      <c r="H348" s="106" t="s">
        <v>24</v>
      </c>
      <c r="I348" s="106" t="s">
        <v>21</v>
      </c>
      <c r="J348" s="109" t="s">
        <v>318</v>
      </c>
    </row>
    <row r="349" spans="2:10" x14ac:dyDescent="0.25">
      <c r="F349" s="110">
        <f>SUBTOTAL(109,Table2[Sales])</f>
        <v>12177000</v>
      </c>
      <c r="G349" s="111">
        <f>SUBTOTAL(109,Table2[Quantity])</f>
        <v>682</v>
      </c>
    </row>
  </sheetData>
  <mergeCells count="1">
    <mergeCell ref="D2:H3"/>
  </mergeCells>
  <conditionalFormatting sqref="B7:B348">
    <cfRule type="duplicateValues" dxfId="207" priority="2"/>
  </conditionalFormatting>
  <conditionalFormatting sqref="B6">
    <cfRule type="duplicateValues" dxfId="206"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5432-28E4-4060-8BE4-77DB26B00CB6}">
  <dimension ref="B1:K21"/>
  <sheetViews>
    <sheetView zoomScale="90" zoomScaleNormal="90" workbookViewId="0">
      <selection activeCell="F6" sqref="F6"/>
    </sheetView>
  </sheetViews>
  <sheetFormatPr defaultRowHeight="15" x14ac:dyDescent="0.25"/>
  <cols>
    <col min="2" max="2" width="13.140625" bestFit="1" customWidth="1"/>
    <col min="3" max="3" width="15.42578125" bestFit="1" customWidth="1"/>
    <col min="4" max="4" width="12.140625" bestFit="1" customWidth="1"/>
    <col min="5" max="7" width="16.140625" customWidth="1"/>
    <col min="8" max="8" width="16.28515625" bestFit="1" customWidth="1"/>
    <col min="9" max="9" width="12.140625" bestFit="1" customWidth="1"/>
    <col min="10" max="10" width="16.140625" bestFit="1" customWidth="1"/>
    <col min="11" max="11" width="14" bestFit="1" customWidth="1"/>
    <col min="12" max="13" width="8" bestFit="1" customWidth="1"/>
    <col min="14" max="14" width="12.28515625" bestFit="1" customWidth="1"/>
    <col min="15" max="15" width="8.42578125" bestFit="1" customWidth="1"/>
    <col min="16" max="17" width="7" bestFit="1" customWidth="1"/>
    <col min="18" max="18" width="11.42578125" bestFit="1" customWidth="1"/>
    <col min="19" max="19" width="11.28515625" bestFit="1" customWidth="1"/>
    <col min="20" max="20" width="7.42578125" bestFit="1" customWidth="1"/>
    <col min="21" max="21" width="7" bestFit="1" customWidth="1"/>
    <col min="22" max="22" width="10.85546875" bestFit="1" customWidth="1"/>
    <col min="23" max="23" width="7.5703125" bestFit="1" customWidth="1"/>
    <col min="24" max="24" width="7.42578125" bestFit="1" customWidth="1"/>
    <col min="25" max="25" width="7" bestFit="1" customWidth="1"/>
    <col min="26" max="26" width="10.5703125" bestFit="1" customWidth="1"/>
    <col min="27" max="27" width="7.85546875" bestFit="1" customWidth="1"/>
    <col min="28" max="28" width="7.42578125" bestFit="1" customWidth="1"/>
    <col min="29" max="29" width="7" bestFit="1" customWidth="1"/>
    <col min="30" max="30" width="10.85546875" bestFit="1" customWidth="1"/>
    <col min="31" max="31" width="7.85546875" bestFit="1" customWidth="1"/>
    <col min="32" max="32" width="7.42578125" bestFit="1" customWidth="1"/>
    <col min="33" max="33" width="7" bestFit="1" customWidth="1"/>
    <col min="34" max="34" width="10.85546875" bestFit="1" customWidth="1"/>
    <col min="35" max="35" width="7" bestFit="1" customWidth="1"/>
    <col min="36" max="36" width="7.42578125" bestFit="1" customWidth="1"/>
    <col min="37" max="37" width="7" bestFit="1" customWidth="1"/>
    <col min="38" max="38" width="9.5703125" bestFit="1" customWidth="1"/>
    <col min="39" max="39" width="11.28515625" bestFit="1" customWidth="1"/>
  </cols>
  <sheetData>
    <row r="1" spans="2:11" ht="15.75" thickBot="1" x14ac:dyDescent="0.3"/>
    <row r="2" spans="2:11" x14ac:dyDescent="0.25">
      <c r="E2" s="135" t="s">
        <v>341</v>
      </c>
      <c r="F2" s="136"/>
      <c r="G2" s="137"/>
    </row>
    <row r="3" spans="2:11" ht="15.75" thickBot="1" x14ac:dyDescent="0.3">
      <c r="E3" s="138"/>
      <c r="F3" s="139"/>
      <c r="G3" s="140"/>
    </row>
    <row r="4" spans="2:11" ht="15.75" thickBot="1" x14ac:dyDescent="0.3"/>
    <row r="5" spans="2:11" ht="15.75" thickBot="1" x14ac:dyDescent="0.3">
      <c r="G5" s="43" t="s">
        <v>5</v>
      </c>
      <c r="H5" s="77" t="s">
        <v>329</v>
      </c>
    </row>
    <row r="6" spans="2:11" ht="15.75" thickBot="1" x14ac:dyDescent="0.3">
      <c r="B6" s="35"/>
      <c r="C6" s="35"/>
    </row>
    <row r="7" spans="2:11" ht="15.75" thickBot="1" x14ac:dyDescent="0.3">
      <c r="B7" s="34" t="s">
        <v>3</v>
      </c>
      <c r="C7" s="34" t="s">
        <v>321</v>
      </c>
      <c r="G7" s="34" t="s">
        <v>7</v>
      </c>
      <c r="H7" s="40" t="s">
        <v>322</v>
      </c>
      <c r="I7" s="40" t="s">
        <v>321</v>
      </c>
      <c r="J7" s="86" t="s">
        <v>336</v>
      </c>
    </row>
    <row r="8" spans="2:11" x14ac:dyDescent="0.25">
      <c r="B8" s="25" t="s">
        <v>19</v>
      </c>
      <c r="C8" s="37">
        <v>5511000</v>
      </c>
      <c r="G8" s="55" t="s">
        <v>21</v>
      </c>
      <c r="H8" s="52">
        <v>220</v>
      </c>
      <c r="I8" s="79">
        <v>4013000</v>
      </c>
      <c r="J8" s="83">
        <v>114</v>
      </c>
    </row>
    <row r="9" spans="2:11" x14ac:dyDescent="0.25">
      <c r="B9" s="25" t="s">
        <v>27</v>
      </c>
      <c r="C9" s="72">
        <v>4641000</v>
      </c>
      <c r="G9" s="56" t="s">
        <v>29</v>
      </c>
      <c r="H9" s="53">
        <v>133</v>
      </c>
      <c r="I9" s="80">
        <v>2365000</v>
      </c>
      <c r="J9" s="84">
        <v>65</v>
      </c>
    </row>
    <row r="10" spans="2:11" ht="15.75" thickBot="1" x14ac:dyDescent="0.3">
      <c r="B10" s="25" t="s">
        <v>10</v>
      </c>
      <c r="C10" s="72">
        <v>2025000</v>
      </c>
      <c r="G10" s="56" t="s">
        <v>31</v>
      </c>
      <c r="H10" s="53">
        <v>105</v>
      </c>
      <c r="I10" s="80">
        <v>1977000</v>
      </c>
      <c r="J10" s="84">
        <v>55</v>
      </c>
    </row>
    <row r="11" spans="2:11" ht="15.75" thickBot="1" x14ac:dyDescent="0.3">
      <c r="B11" s="36" t="s">
        <v>320</v>
      </c>
      <c r="C11" s="38">
        <v>12177000</v>
      </c>
      <c r="G11" s="57" t="s">
        <v>53</v>
      </c>
      <c r="H11" s="54">
        <v>224</v>
      </c>
      <c r="I11" s="82">
        <v>3822000</v>
      </c>
      <c r="J11" s="85">
        <v>108</v>
      </c>
    </row>
    <row r="12" spans="2:11" ht="15.75" thickBot="1" x14ac:dyDescent="0.3">
      <c r="G12" s="42" t="s">
        <v>320</v>
      </c>
      <c r="H12" s="41">
        <v>682</v>
      </c>
      <c r="I12" s="81">
        <v>12177000</v>
      </c>
      <c r="J12" s="39">
        <v>342</v>
      </c>
    </row>
    <row r="14" spans="2:11" ht="15.75" thickBot="1" x14ac:dyDescent="0.3"/>
    <row r="15" spans="2:11" ht="15.75" thickBot="1" x14ac:dyDescent="0.3">
      <c r="B15" s="34" t="s">
        <v>2</v>
      </c>
      <c r="C15" s="44" t="s">
        <v>322</v>
      </c>
      <c r="D15" s="47" t="s">
        <v>321</v>
      </c>
      <c r="G15" s="34" t="s">
        <v>321</v>
      </c>
      <c r="H15" s="34" t="s">
        <v>327</v>
      </c>
      <c r="I15" s="73"/>
      <c r="J15" s="74"/>
      <c r="K15" s="75"/>
    </row>
    <row r="16" spans="2:11" ht="15.75" thickBot="1" x14ac:dyDescent="0.3">
      <c r="B16" s="66" t="s">
        <v>23</v>
      </c>
      <c r="C16" s="50">
        <v>208</v>
      </c>
      <c r="D16" s="46">
        <v>3643000</v>
      </c>
      <c r="G16" s="73" t="s">
        <v>328</v>
      </c>
      <c r="H16" s="60" t="s">
        <v>19</v>
      </c>
      <c r="I16" s="76" t="s">
        <v>27</v>
      </c>
      <c r="J16" s="76" t="s">
        <v>10</v>
      </c>
      <c r="K16" s="61" t="s">
        <v>320</v>
      </c>
    </row>
    <row r="17" spans="2:11" x14ac:dyDescent="0.25">
      <c r="B17" s="66" t="s">
        <v>315</v>
      </c>
      <c r="C17" s="50">
        <v>96</v>
      </c>
      <c r="D17" s="46">
        <v>1742000</v>
      </c>
      <c r="G17" s="64" t="s">
        <v>324</v>
      </c>
      <c r="H17" s="65">
        <v>1712000</v>
      </c>
      <c r="I17" s="65">
        <v>1487000</v>
      </c>
      <c r="J17" s="65">
        <v>599000</v>
      </c>
      <c r="K17" s="51">
        <v>3798000</v>
      </c>
    </row>
    <row r="18" spans="2:11" x14ac:dyDescent="0.25">
      <c r="B18" s="66" t="s">
        <v>33</v>
      </c>
      <c r="C18" s="50">
        <v>178</v>
      </c>
      <c r="D18" s="46">
        <v>3103000</v>
      </c>
      <c r="G18" s="58" t="s">
        <v>325</v>
      </c>
      <c r="H18" s="62">
        <v>1261000</v>
      </c>
      <c r="I18" s="62">
        <v>977000</v>
      </c>
      <c r="J18" s="62">
        <v>458000</v>
      </c>
      <c r="K18" s="63">
        <v>2696000</v>
      </c>
    </row>
    <row r="19" spans="2:11" x14ac:dyDescent="0.25">
      <c r="B19" s="66" t="s">
        <v>45</v>
      </c>
      <c r="C19" s="50">
        <v>102</v>
      </c>
      <c r="D19" s="46">
        <v>1826000</v>
      </c>
      <c r="G19" s="58" t="s">
        <v>326</v>
      </c>
      <c r="H19" s="62">
        <v>1104000</v>
      </c>
      <c r="I19" s="62">
        <v>1132000</v>
      </c>
      <c r="J19" s="62">
        <v>485000</v>
      </c>
      <c r="K19" s="63">
        <v>2721000</v>
      </c>
    </row>
    <row r="20" spans="2:11" ht="15.75" thickBot="1" x14ac:dyDescent="0.3">
      <c r="B20" s="66" t="s">
        <v>314</v>
      </c>
      <c r="C20" s="50">
        <v>98</v>
      </c>
      <c r="D20" s="46">
        <v>1863000</v>
      </c>
      <c r="G20" s="59" t="s">
        <v>323</v>
      </c>
      <c r="H20" s="62">
        <v>1434000</v>
      </c>
      <c r="I20" s="62">
        <v>1045000</v>
      </c>
      <c r="J20" s="62">
        <v>483000</v>
      </c>
      <c r="K20" s="63">
        <v>2962000</v>
      </c>
    </row>
    <row r="21" spans="2:11" ht="15.75" thickBot="1" x14ac:dyDescent="0.3">
      <c r="B21" s="49" t="s">
        <v>320</v>
      </c>
      <c r="C21" s="70">
        <v>682</v>
      </c>
      <c r="D21" s="69">
        <v>12177000</v>
      </c>
      <c r="G21" s="45" t="s">
        <v>320</v>
      </c>
      <c r="H21" s="67">
        <v>5511000</v>
      </c>
      <c r="I21" s="67">
        <v>4641000</v>
      </c>
      <c r="J21" s="67">
        <v>2025000</v>
      </c>
      <c r="K21" s="68">
        <v>12177000</v>
      </c>
    </row>
  </sheetData>
  <mergeCells count="1">
    <mergeCell ref="E2:G3"/>
  </mergeCells>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3129-98BB-44F3-A1F8-763E77F092E7}">
  <sheetPr>
    <pageSetUpPr autoPageBreaks="0" fitToPage="1"/>
  </sheetPr>
  <dimension ref="B1:S53"/>
  <sheetViews>
    <sheetView showGridLines="0" showRowColHeaders="0" zoomScale="70" zoomScaleNormal="70" workbookViewId="0">
      <selection activeCell="Q3" sqref="Q3"/>
    </sheetView>
  </sheetViews>
  <sheetFormatPr defaultRowHeight="15" x14ac:dyDescent="0.25"/>
  <cols>
    <col min="1" max="1" width="4.42578125" customWidth="1"/>
    <col min="2" max="2" width="20.7109375" bestFit="1" customWidth="1"/>
    <col min="3" max="3" width="6.140625" customWidth="1"/>
    <col min="4" max="4" width="19.42578125" bestFit="1" customWidth="1"/>
    <col min="6" max="6" width="25.7109375" customWidth="1"/>
    <col min="7" max="7" width="10.42578125" customWidth="1"/>
    <col min="8" max="8" width="15.28515625" bestFit="1" customWidth="1"/>
    <col min="9" max="9" width="16.28515625" bestFit="1" customWidth="1"/>
    <col min="10" max="10" width="14.7109375" bestFit="1" customWidth="1"/>
    <col min="11" max="11" width="14.42578125" bestFit="1" customWidth="1"/>
    <col min="12" max="12" width="13.85546875" bestFit="1" customWidth="1"/>
    <col min="13" max="13" width="13" bestFit="1" customWidth="1"/>
    <col min="14" max="14" width="12.42578125" bestFit="1" customWidth="1"/>
    <col min="15" max="15" width="5.85546875" customWidth="1"/>
    <col min="16" max="16" width="1.42578125" customWidth="1"/>
    <col min="18" max="18" width="29.42578125" customWidth="1"/>
  </cols>
  <sheetData>
    <row r="1" spans="2:19" ht="6.75" customHeight="1" x14ac:dyDescent="0.25"/>
    <row r="2" spans="2:19" ht="32.25" customHeight="1" x14ac:dyDescent="0.25">
      <c r="F2" s="145" t="s">
        <v>344</v>
      </c>
      <c r="G2" s="145"/>
      <c r="H2" s="145"/>
      <c r="I2" s="145"/>
      <c r="J2" s="145"/>
      <c r="K2" s="145"/>
      <c r="L2" s="145"/>
    </row>
    <row r="3" spans="2:19" ht="19.5" customHeight="1" x14ac:dyDescent="0.25">
      <c r="F3" s="145"/>
      <c r="G3" s="145"/>
      <c r="H3" s="145"/>
      <c r="I3" s="145"/>
      <c r="J3" s="145"/>
      <c r="K3" s="145"/>
      <c r="L3" s="145"/>
    </row>
    <row r="4" spans="2:19" ht="9.75" customHeight="1" x14ac:dyDescent="0.25">
      <c r="B4" s="78"/>
    </row>
    <row r="5" spans="2:19" s="92" customFormat="1" ht="26.25" customHeight="1" x14ac:dyDescent="0.25">
      <c r="B5" s="91" t="s">
        <v>337</v>
      </c>
      <c r="D5" s="91" t="s">
        <v>333</v>
      </c>
      <c r="F5" s="91" t="s">
        <v>332</v>
      </c>
      <c r="H5" s="91" t="s">
        <v>334</v>
      </c>
      <c r="J5" s="91" t="s">
        <v>330</v>
      </c>
      <c r="L5" s="91" t="s">
        <v>331</v>
      </c>
      <c r="N5" s="91" t="s">
        <v>335</v>
      </c>
    </row>
    <row r="6" spans="2:19" ht="25.5" customHeight="1" x14ac:dyDescent="0.25">
      <c r="B6" s="90">
        <f>GETPIVOTDATA("Sales",Pivot_Table_Analysis!$B$7)</f>
        <v>12177000</v>
      </c>
      <c r="C6" s="71"/>
      <c r="D6" s="87">
        <f>GETPIVOTDATA("Sum of Quantity",Pivot_Table_Analysis!$G$7)</f>
        <v>682</v>
      </c>
      <c r="F6" s="89">
        <f>$B$6/$H$6</f>
        <v>35605.26315789474</v>
      </c>
      <c r="H6" s="87">
        <f>GETPIVOTDATA("Count of OrderID",Pivot_Table_Analysis!$G$7)</f>
        <v>342</v>
      </c>
      <c r="J6" s="93" t="str">
        <f>IFERROR(INDEX(Pivot_Table_Analysis!B8:B10,MATCH(MAX(Pivot_Table_Analysis!C8:C10),Pivot_Table_Analysis!C8:C10,0)),"No Data")</f>
        <v>Laptop</v>
      </c>
      <c r="L6" s="93" t="str">
        <f>IFERROR(INDEX(Pivot_Table_Analysis!G8:G11,MATCH(MAX(Pivot_Table_Analysis!I8:I11),Pivot_Table_Analysis!I8:I11,0)),"No Data")</f>
        <v>West</v>
      </c>
      <c r="N6" s="93" t="str">
        <f>IFERROR(INDEX(Pivot_Table_Analysis!B16:B20,MATCH(MAX(Pivot_Table_Analysis!D16:D20),Pivot_Table_Analysis!D16:D20,0)),"No data")</f>
        <v>Bangalore</v>
      </c>
    </row>
    <row r="8" spans="2:19" ht="24.75" customHeight="1" x14ac:dyDescent="0.25">
      <c r="Q8" s="96" t="s">
        <v>338</v>
      </c>
      <c r="R8" s="96" t="s">
        <v>339</v>
      </c>
      <c r="S8" s="95"/>
    </row>
    <row r="9" spans="2:19" ht="15" customHeight="1" x14ac:dyDescent="0.25">
      <c r="Q9" s="141"/>
      <c r="R9" s="142"/>
      <c r="S9" s="95"/>
    </row>
    <row r="10" spans="2:19" x14ac:dyDescent="0.25">
      <c r="Q10" s="143"/>
      <c r="R10" s="144"/>
    </row>
    <row r="11" spans="2:19" ht="45.75" customHeight="1" x14ac:dyDescent="0.25">
      <c r="Q11" s="115">
        <v>1</v>
      </c>
      <c r="R11" s="116" t="s">
        <v>345</v>
      </c>
    </row>
    <row r="12" spans="2:19" ht="75.75" customHeight="1" x14ac:dyDescent="0.25">
      <c r="Q12" s="115">
        <v>2</v>
      </c>
      <c r="R12" s="116" t="s">
        <v>346</v>
      </c>
    </row>
    <row r="13" spans="2:19" ht="68.25" customHeight="1" x14ac:dyDescent="0.25">
      <c r="Q13" s="115">
        <v>3</v>
      </c>
      <c r="R13" s="116" t="s">
        <v>347</v>
      </c>
    </row>
    <row r="14" spans="2:19" ht="75" customHeight="1" x14ac:dyDescent="0.25">
      <c r="Q14" s="115">
        <v>4</v>
      </c>
      <c r="R14" s="116" t="s">
        <v>348</v>
      </c>
    </row>
    <row r="15" spans="2:19" ht="99.75" customHeight="1" x14ac:dyDescent="0.25">
      <c r="Q15" s="115">
        <v>5</v>
      </c>
      <c r="R15" s="116" t="s">
        <v>349</v>
      </c>
    </row>
    <row r="23" spans="15:18" x14ac:dyDescent="0.25">
      <c r="R23" s="94" t="s">
        <v>340</v>
      </c>
    </row>
    <row r="28" spans="15:18" x14ac:dyDescent="0.25">
      <c r="O28" s="48"/>
    </row>
    <row r="52" ht="21" customHeight="1" x14ac:dyDescent="0.25"/>
    <row r="53" ht="23.25" customHeight="1" x14ac:dyDescent="0.25"/>
  </sheetData>
  <mergeCells count="2">
    <mergeCell ref="Q9:R10"/>
    <mergeCell ref="F2:L3"/>
  </mergeCells>
  <pageMargins left="1" right="1" top="1" bottom="1" header="0.5" footer="0.5"/>
  <pageSetup scale="4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Messy_Sales_Data</vt:lpstr>
      <vt:lpstr>Refined_Data</vt:lpstr>
      <vt:lpstr>Valid_Data</vt:lpstr>
      <vt:lpstr>Pivot_Table_Analysis</vt:lpstr>
      <vt:lpstr>Dynamic_Sales_Dashboard</vt:lpstr>
      <vt:lpstr>OrderID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cp:lastModifiedBy>
  <cp:lastPrinted>2026-06-10T12:52:05Z</cp:lastPrinted>
  <dcterms:created xsi:type="dcterms:W3CDTF">2026-05-31T06:14:29Z</dcterms:created>
  <dcterms:modified xsi:type="dcterms:W3CDTF">2026-06-12T08:32:56Z</dcterms:modified>
</cp:coreProperties>
</file>